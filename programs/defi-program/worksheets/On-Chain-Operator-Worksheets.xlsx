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Tools" sheetId="2" state="visible" r:id="rId2"/>
    <sheet name="W1 Records" sheetId="3" state="visible" r:id="rId3"/>
    <sheet name="W2 Journal" sheetId="4" state="visible" r:id="rId4"/>
    <sheet name="W3 Due diligence" sheetId="5" state="visible" r:id="rId5"/>
    <sheet name="W4 Risk register" sheetId="6" state="visible" r:id="rId6"/>
    <sheet name="W5 Portfolio" sheetId="7" state="visible" r:id="rId7"/>
    <sheet name="W6 Balance sheet" sheetId="8" state="visible" r:id="rId8"/>
    <sheet name="W7 Custody" sheetId="9" state="visible" r:id="rId9"/>
    <sheet name="W8 Credit policy" sheetId="10" state="visible" r:id="rId10"/>
    <sheet name="W9 Liquidity" sheetId="11" state="visible" r:id="rId11"/>
    <sheet name="W10 Lending" sheetId="12" state="visible" r:id="rId12"/>
    <sheet name="W11 Income" sheetId="13" state="visible" r:id="rId13"/>
    <sheet name="W12 Stress test" sheetId="14" state="visible" r:id="rId14"/>
    <sheet name="W13 Incident" sheetId="15" state="visible" r:id="rId15"/>
    <sheet name="W14 Alerts" sheetId="16" state="visible" r:id="rId16"/>
    <sheet name="W15 Automation" sheetId="17" state="visible" r:id="rId17"/>
    <sheet name="W16 Annual review" sheetId="18" state="visible" r:id="rId18"/>
    <sheet name="W17 Letter" sheetId="19" state="visible" r:id="rId19"/>
  </sheets>
  <definedNames>
    <definedName name="_xlnm._FilterDatabase" localSheetId="0" hidden="1">'Start'!$A$5:$C$23</definedName>
    <definedName name="_xlnm.Print_Titles" localSheetId="0">'Start'!$1:$5</definedName>
    <definedName name="_xlnm.Print_Titles" localSheetId="1">'Tools'!$1:$4</definedName>
    <definedName name="_xlnm._FilterDatabase" localSheetId="2" hidden="1">'W1 Records'!$A$4:$I$44</definedName>
    <definedName name="_xlnm.Print_Titles" localSheetId="2">'W1 Records'!$1:$4</definedName>
    <definedName name="_xlnm._FilterDatabase" localSheetId="3" hidden="1">'W2 Journal'!$A$4:$J$24</definedName>
    <definedName name="_xlnm.Print_Titles" localSheetId="3">'W2 Journal'!$1:$4</definedName>
    <definedName name="_xlnm._FilterDatabase" localSheetId="5" hidden="1">'W4 Risk register'!$A$4:$G$28</definedName>
    <definedName name="_xlnm.Print_Titles" localSheetId="5">'W4 Risk register'!$1:$4</definedName>
    <definedName name="_xlnm._FilterDatabase" localSheetId="6" hidden="1">'W5 Portfolio'!$A$4:$E$16</definedName>
    <definedName name="_xlnm._FilterDatabase" localSheetId="8" hidden="1">'W7 Custody'!$A$17:$C$25</definedName>
    <definedName name="_xlnm._FilterDatabase" localSheetId="10" hidden="1">'W9 Liquidity'!$A$4:$F$5</definedName>
    <definedName name="_xlnm._FilterDatabase" localSheetId="11" hidden="1">'W10 Lending'!$A$4:$I$16</definedName>
    <definedName name="_xlnm.Print_Titles" localSheetId="11">'W10 Lending'!$1:$4</definedName>
    <definedName name="_xlnm._FilterDatabase" localSheetId="12" hidden="1">'W11 Income'!$A$4:$G$14</definedName>
    <definedName name="_xlnm._FilterDatabase" localSheetId="13" hidden="1">'W12 Stress test'!$A$4:$F$5</definedName>
    <definedName name="_xlnm._FilterDatabase" localSheetId="14" hidden="1">'W13 Incident'!$A$4:$F$14</definedName>
    <definedName name="_xlnm.Print_Titles" localSheetId="14">'W13 Incident'!$1:$4</definedName>
    <definedName name="_xlnm._FilterDatabase" localSheetId="15" hidden="1">'W14 Alerts'!$A$4:$D$20</definedName>
    <definedName name="_xlnm.Print_Titles" localSheetId="15">'W14 Alerts'!$1:$4</definedName>
    <definedName name="_xlnm._FilterDatabase" localSheetId="16" hidden="1">'W15 Automation'!$A$4:$F$16</definedName>
    <definedName name="_xlnm.Print_Titles" localSheetId="16">'W15 Automation'!$1:$4</definedName>
    <definedName name="_xlnm._FilterDatabase" localSheetId="17" hidden="1">'W16 Annual review'!$A$13:$D$19</definedName>
  </definedNames>
  <calcPr calcId="124519" calcMode="auto" fullCalcOnLoad="1"/>
</workbook>
</file>

<file path=xl/styles.xml><?xml version="1.0" encoding="utf-8"?>
<styleSheet xmlns="http://schemas.openxmlformats.org/spreadsheetml/2006/main">
  <numFmts count="10">
    <numFmt numFmtId="164" formatCode="&quot;$&quot;#,##0.00"/>
    <numFmt numFmtId="165" formatCode="0.0%"/>
    <numFmt numFmtId="166" formatCode="0.00&quot;×&quot;"/>
    <numFmt numFmtId="167" formatCode="0.00&quot;%&quot;"/>
    <numFmt numFmtId="168" formatCode="0.0&quot;×&quot;"/>
    <numFmt numFmtId="169" formatCode="0.0"/>
    <numFmt numFmtId="170" formatCode="0&quot;%&quot;"/>
    <numFmt numFmtId="171" formatCode="YYYY-MM-DD"/>
    <numFmt numFmtId="172" formatCode="0.0&quot;%&quot;"/>
    <numFmt numFmtId="173" formatCode="&quot;$&quot;#,##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A5C48"/>
      <sz val="12"/>
    </font>
    <font>
      <name val="Calibri"/>
      <color rgb="003E4C59"/>
      <sz val="11"/>
    </font>
    <font>
      <name val="Calibri"/>
      <b val="1"/>
      <color rgb="00FFFFFF"/>
      <sz val="11"/>
    </font>
    <font>
      <name val="Calibri"/>
      <b val="1"/>
      <color rgb="000A5C48"/>
      <sz val="11"/>
    </font>
    <font>
      <name val="Calibri"/>
      <color rgb="0007111C"/>
      <sz val="11"/>
    </font>
    <font>
      <name val="Calibri"/>
      <b val="1"/>
      <color rgb="0007111C"/>
      <sz val="14"/>
    </font>
    <font>
      <name val="Calibri"/>
      <b val="1"/>
      <color rgb="0007111C"/>
      <sz val="11"/>
    </font>
    <font>
      <name val="Calibri"/>
      <color rgb="000A5C48"/>
      <sz val="11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07111C"/>
      </patternFill>
    </fill>
    <fill>
      <patternFill patternType="solid">
        <fgColor rgb="00F3F6F8"/>
      </patternFill>
    </fill>
    <fill>
      <patternFill patternType="solid">
        <fgColor rgb="00FFFFFF"/>
      </patternFill>
    </fill>
    <fill>
      <patternFill patternType="solid">
        <fgColor rgb="00FFF6D8"/>
      </patternFill>
    </fill>
    <fill>
      <patternFill patternType="solid">
        <fgColor rgb="00E7F6F1"/>
      </patternFill>
    </fill>
    <fill>
      <patternFill patternType="solid">
        <fgColor rgb="000A5C48"/>
      </patternFill>
    </fill>
  </fills>
  <borders count="6">
    <border>
      <left/>
      <right/>
      <top/>
      <bottom/>
      <diagonal/>
    </border>
    <border>
      <left style="thin">
        <color rgb="00C5D0DA"/>
      </left>
      <right style="thin">
        <color rgb="00C5D0DA"/>
      </right>
      <top style="thin">
        <color rgb="00C5D0DA"/>
      </top>
      <bottom style="thin">
        <color rgb="00C5D0DA"/>
      </bottom>
    </border>
    <border>
      <left/>
      <right/>
      <top style="thin">
        <color rgb="00C5D0DA"/>
      </top>
      <bottom/>
      <diagonal/>
    </border>
    <border>
      <left/>
      <right style="thin">
        <color rgb="00C5D0DA"/>
      </right>
      <top style="thin">
        <color rgb="00C5D0DA"/>
      </top>
      <bottom/>
      <diagonal/>
    </border>
    <border>
      <left/>
      <right/>
      <top style="thin">
        <color rgb="00C5D0DA"/>
      </top>
      <bottom style="thin">
        <color rgb="00C5D0DA"/>
      </bottom>
      <diagonal/>
    </border>
    <border>
      <left/>
      <right style="thin">
        <color rgb="00C5D0DA"/>
      </right>
      <top style="thin">
        <color rgb="00C5D0DA"/>
      </top>
      <bottom style="thin">
        <color rgb="00C5D0DA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2" fontId="6" fillId="5" borderId="1" applyAlignment="1" applyProtection="1" pivotButton="0" quotePrefix="0" xfId="0">
      <alignment horizontal="right" vertical="center" wrapText="1"/>
      <protection locked="0" hidden="0"/>
    </xf>
    <xf numFmtId="0" fontId="8" fillId="4" borderId="0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right" vertical="center" wrapText="1"/>
    </xf>
    <xf numFmtId="164" fontId="6" fillId="5" borderId="1" applyAlignment="1" applyProtection="1" pivotButton="0" quotePrefix="0" xfId="0">
      <alignment horizontal="right" vertical="center" wrapText="1"/>
      <protection locked="0" hidden="0"/>
    </xf>
    <xf numFmtId="165" fontId="8" fillId="6" borderId="1" applyAlignment="1" pivotButton="0" quotePrefix="0" xfId="0">
      <alignment horizontal="right" vertical="center" wrapText="1"/>
    </xf>
    <xf numFmtId="2" fontId="8" fillId="6" borderId="1" applyAlignment="1" pivotButton="0" quotePrefix="0" xfId="0">
      <alignment horizontal="right" vertical="center" wrapText="1"/>
    </xf>
    <xf numFmtId="166" fontId="8" fillId="6" borderId="1" applyAlignment="1" pivotButton="0" quotePrefix="0" xfId="0">
      <alignment horizontal="right" vertical="center" wrapText="1"/>
    </xf>
    <xf numFmtId="1" fontId="6" fillId="5" borderId="1" applyAlignment="1" applyProtection="1" pivotButton="0" quotePrefix="0" xfId="0">
      <alignment horizontal="right" vertical="center" wrapText="1"/>
      <protection locked="0" hidden="0"/>
    </xf>
    <xf numFmtId="167" fontId="8" fillId="6" borderId="1" applyAlignment="1" pivotButton="0" quotePrefix="0" xfId="0">
      <alignment horizontal="right" vertical="center" wrapText="1"/>
    </xf>
    <xf numFmtId="167" fontId="6" fillId="5" borderId="1" applyAlignment="1" applyProtection="1" pivotButton="0" quotePrefix="0" xfId="0">
      <alignment horizontal="right" vertical="center" wrapText="1"/>
      <protection locked="0" hidden="0"/>
    </xf>
    <xf numFmtId="168" fontId="8" fillId="6" borderId="1" applyAlignment="1" pivotButton="0" quotePrefix="0" xfId="0">
      <alignment horizontal="right" vertical="center" wrapText="1"/>
    </xf>
    <xf numFmtId="10" fontId="8" fillId="6" borderId="1" applyAlignment="1" pivotButton="0" quotePrefix="0" xfId="0">
      <alignment horizontal="right" vertical="center" wrapText="1"/>
    </xf>
    <xf numFmtId="169" fontId="8" fillId="6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right" vertical="center" wrapText="1"/>
    </xf>
    <xf numFmtId="168" fontId="6" fillId="5" borderId="1" applyAlignment="1" applyProtection="1" pivotButton="0" quotePrefix="0" xfId="0">
      <alignment horizontal="right" vertical="center" wrapText="1"/>
      <protection locked="0" hidden="0"/>
    </xf>
    <xf numFmtId="9" fontId="8" fillId="6" borderId="1" applyAlignment="1" pivotButton="0" quotePrefix="0" xfId="0">
      <alignment horizontal="right" vertical="center" wrapText="1"/>
    </xf>
    <xf numFmtId="170" fontId="6" fillId="5" borderId="1" applyAlignment="1" applyProtection="1" pivotButton="0" quotePrefix="0" xfId="0">
      <alignment horizontal="right" vertical="center" wrapText="1"/>
      <protection locked="0" hidden="0"/>
    </xf>
    <xf numFmtId="171" fontId="6" fillId="4" borderId="1" applyAlignment="1" applyProtection="1" pivotButton="0" quotePrefix="0" xfId="0">
      <alignment horizontal="left" vertical="center" wrapText="1"/>
      <protection locked="0" hidden="0"/>
    </xf>
    <xf numFmtId="0" fontId="6" fillId="4" borderId="1" applyAlignment="1" applyProtection="1" pivotButton="0" quotePrefix="0" xfId="0">
      <alignment horizontal="left" vertical="center" wrapText="1"/>
      <protection locked="0" hidden="0"/>
    </xf>
    <xf numFmtId="4" fontId="6" fillId="4" borderId="1" applyAlignment="1" applyProtection="1" pivotButton="0" quotePrefix="0" xfId="0">
      <alignment horizontal="left" vertical="center" wrapText="1"/>
      <protection locked="0" hidden="0"/>
    </xf>
    <xf numFmtId="164" fontId="6" fillId="4" borderId="1" applyAlignment="1" applyProtection="1" pivotButton="0" quotePrefix="0" xfId="0">
      <alignment horizontal="left" vertical="center" wrapText="1"/>
      <protection locked="0" hidden="0"/>
    </xf>
    <xf numFmtId="0" fontId="6" fillId="5" borderId="1" applyAlignment="1" applyProtection="1" pivotButton="0" quotePrefix="0" xfId="0">
      <alignment horizontal="right" vertical="center" wrapText="1"/>
      <protection locked="0" hidden="0"/>
    </xf>
    <xf numFmtId="1" fontId="8" fillId="6" borderId="1" applyAlignment="1" pivotButton="0" quotePrefix="0" xfId="0">
      <alignment horizontal="right" vertical="center" wrapText="1"/>
    </xf>
    <xf numFmtId="172" fontId="6" fillId="4" borderId="1" applyAlignment="1" applyProtection="1" pivotButton="0" quotePrefix="0" xfId="0">
      <alignment horizontal="left" vertical="center" wrapText="1"/>
      <protection locked="0" hidden="0"/>
    </xf>
    <xf numFmtId="172" fontId="8" fillId="6" borderId="1" applyAlignment="1" pivotButton="0" quotePrefix="0" xfId="0">
      <alignment horizontal="right" vertical="center" wrapText="1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3" borderId="1" applyAlignment="1" pivotButton="0" quotePrefix="0" xfId="0">
      <alignment horizontal="left" vertical="center" wrapText="1"/>
    </xf>
    <xf numFmtId="169" fontId="6" fillId="5" borderId="1" applyAlignment="1" applyProtection="1" pivotButton="0" quotePrefix="0" xfId="0">
      <alignment horizontal="right" vertical="center" wrapText="1"/>
      <protection locked="0" hidden="0"/>
    </xf>
    <xf numFmtId="2" fontId="6" fillId="4" borderId="1" applyAlignment="1" applyProtection="1" pivotButton="0" quotePrefix="0" xfId="0">
      <alignment horizontal="left" vertical="center" wrapText="1"/>
      <protection locked="0" hidden="0"/>
    </xf>
    <xf numFmtId="173" fontId="6" fillId="4" borderId="1" applyAlignment="1" applyProtection="1" pivotButton="0" quotePrefix="0" xfId="0">
      <alignment horizontal="left" vertical="center" wrapText="1"/>
      <protection locked="0" hidden="0"/>
    </xf>
    <xf numFmtId="167" fontId="6" fillId="4" borderId="1" applyAlignment="1" applyProtection="1" pivotButton="0" quotePrefix="0" xfId="0">
      <alignment horizontal="left" vertical="center" wrapText="1"/>
      <protection locked="0" hidden="0"/>
    </xf>
    <xf numFmtId="173" fontId="6" fillId="5" borderId="1" applyAlignment="1" applyProtection="1" pivotButton="0" quotePrefix="0" xfId="0">
      <alignment horizontal="right" vertical="center" wrapText="1"/>
      <protection locked="0" hidden="0"/>
    </xf>
    <xf numFmtId="172" fontId="6" fillId="5" borderId="1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dxfs count="2">
    <dxf>
      <fill>
        <patternFill patternType="solid">
          <fgColor rgb="00F4D6CC"/>
        </patternFill>
      </fill>
    </dxf>
    <dxf>
      <fill>
        <patternFill patternType="solid">
          <fgColor rgb="00F8EF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On-Chain Operator Program</author>
  </authors>
  <commentList>
    <comment ref="B7" authorId="0" shapeId="0">
      <text>
        <t>How many units of collateral.</t>
      </text>
    </comment>
    <comment ref="B8" authorId="0" shapeId="0">
      <text>
        <t>Price per unit.</t>
      </text>
    </comment>
    <comment ref="B9" authorId="0" shapeId="0">
      <text>
        <t>The LTV at which liquidation can start. 0.80 means 80%.</t>
      </text>
    </comment>
    <comment ref="B10" authorId="0" shapeId="0">
      <text>
        <t>Amount borrowed.</t>
      </text>
    </comment>
    <comment ref="B14" authorId="0" shapeId="0">
      <text>
        <t>Loan-to-value used on each loop.</t>
      </text>
    </comment>
    <comment ref="B15" authorId="0" shapeId="0">
      <text>
        <t>How many times you borrow and deposit again.</t>
      </text>
    </comment>
    <comment ref="B16" authorId="0" shapeId="0">
      <text>
        <t>Yield on the collateral, in percentage points.</t>
      </text>
    </comment>
    <comment ref="B17" authorId="0" shapeId="0">
      <text>
        <t>Cost of the debt, in percentage points.</t>
      </text>
    </comment>
    <comment ref="B20" authorId="0" shapeId="0">
      <text>
        <t>2 means the price doubled. 0.5 means it halved.</t>
      </text>
    </comment>
    <comment ref="B23" authorId="0" shapeId="0">
      <text>
        <t>The move you want the fees to cover.</t>
      </text>
    </comment>
    <comment ref="B24" authorId="0" shapeId="0">
      <text>
        <t>How long the position is open.</t>
      </text>
    </comment>
    <comment ref="B25" authorId="0" shapeId="0">
      <text>
        <t>Optional. Leave blank to see only the fee rate required.</t>
      </text>
    </comment>
    <comment ref="B29" authorId="0" shapeId="0">
      <text>
        <t>Bottom of the range.</t>
      </text>
    </comment>
    <comment ref="B30" authorId="0" shapeId="0">
      <text>
        <t>Top of the range.</t>
      </text>
    </comment>
    <comment ref="B33" authorId="0" shapeId="0">
      <text>
        <t>Annualised volatility of the pair.</t>
      </text>
    </comment>
    <comment ref="B34" authorId="0" shapeId="0">
      <text>
        <t>Fee APR you expect. Leave blank to see only LVR.</t>
      </text>
    </comment>
    <comment ref="B37" authorId="0" shapeId="0">
      <text>
        <t>What borrowers pay.</t>
      </text>
    </comment>
    <comment ref="B38" authorId="0" shapeId="0">
      <text>
        <t>Share of deposits that is lent out.</t>
      </text>
    </comment>
    <comment ref="B39" authorId="0" shapeId="0">
      <text>
        <t>Share of interest the protocol keeps.</t>
      </text>
    </comment>
    <comment ref="B42" authorId="0" shapeId="0">
      <text>
        <t>The stated rate, before compounding.</t>
      </text>
    </comment>
    <comment ref="B43" authorId="0" shapeId="0">
      <text>
        <t>How often it compounds.</t>
      </text>
    </comment>
    <comment ref="B44" authorId="0" shapeId="0">
      <text>
        <t>Optional. Used only for the gas drag.</t>
      </text>
    </comment>
    <comment ref="B45" authorId="0" shapeId="0">
      <text>
        <t>Optional. What one compound costs.</t>
      </text>
    </comment>
    <comment ref="B48" authorId="0" shapeId="0">
      <text>
        <t>Your estimate that the airdrop happens and you qualify.</t>
      </text>
    </comment>
    <comment ref="B49" authorId="0" shapeId="0">
      <text>
        <t>What you could sell it for, not the headline.</t>
      </text>
    </comment>
    <comment ref="B50" authorId="0" shapeId="0">
      <text>
        <t>Gas, bridges, and time you count as a cost.</t>
      </text>
    </comment>
    <comment ref="B53" authorId="0" shapeId="0">
      <text>
        <t>0.95 means you pay 0.95 for a claim on 1 at maturity.</t>
      </text>
    </comment>
    <comment ref="B54" authorId="0" shapeId="0">
      <text>
        <t>Days left until redemption.</t>
      </text>
    </comment>
    <comment ref="B57" authorId="0" shapeId="0">
      <text>
        <t>Price of the asset today.</t>
      </text>
    </comment>
    <comment ref="B58" authorId="0" shapeId="0">
      <text>
        <t>Price of the dated future.</t>
      </text>
    </comment>
    <comment ref="B59" authorId="0" shapeId="0">
      <text>
        <t>Days until the future expires.</t>
      </text>
    </comment>
    <comment ref="B62" authorId="0" shapeId="0">
      <text>
        <t>Price of the asset you hold.</t>
      </text>
    </comment>
    <comment ref="B63" authorId="0" shapeId="0">
      <text>
        <t>The cap you are willing to sell at.</t>
      </text>
    </comment>
    <comment ref="B64" authorId="0" shapeId="0">
      <text>
        <t>Premium received, in percentage points of spot.</t>
      </text>
    </comment>
    <comment ref="B65" authorId="0" shapeId="0">
      <text>
        <t>Length of this option.</t>
      </text>
    </comment>
    <comment ref="B68" authorId="0" shapeId="0">
      <text>
        <t>The advertised rate, in percentage points.</t>
      </text>
    </comment>
    <comment ref="B69" authorId="0" shapeId="0">
      <text>
        <t>Your assumed chance of a loss event this year.</t>
      </text>
    </comment>
    <comment ref="B70" authorId="0" shapeId="0">
      <text>
        <t>Share of the position lost if that event happens.</t>
      </text>
    </comment>
    <comment ref="B71" authorId="0" shapeId="0">
      <text>
        <t>Fees and gas, in percentage points.</t>
      </text>
    </comment>
    <comment ref="B74" authorId="0" shapeId="0">
      <text>
        <t>Capital in the position.</t>
      </text>
    </comment>
    <comment ref="B75" authorId="0" shapeId="0">
      <text>
        <t>Yield after the expected-loss haircut.</t>
      </text>
    </comment>
    <comment ref="B76" authorId="0" shapeId="0">
      <text>
        <t>Share of expected income you pay out.</t>
      </text>
    </comment>
    <comment ref="B80" authorId="0" shapeId="0">
      <text>
        <t>Collateral value.</t>
      </text>
    </comment>
    <comment ref="B81" authorId="0" shapeId="0">
      <text>
        <t>Cash you can reach quickly.</t>
      </text>
    </comment>
    <comment ref="B82" authorId="0" shapeId="0">
      <text>
        <t>Anything else you count.</t>
      </text>
    </comment>
    <comment ref="B83" authorId="0" shapeId="0">
      <text>
        <t>What you owe.</t>
      </text>
    </comment>
    <comment ref="B84" authorId="0" shapeId="0">
      <text>
        <t>Interest rate on the debt.</t>
      </text>
    </comment>
    <comment ref="B85" authorId="0" shapeId="0">
      <text>
        <t>Spending the reserve must also cover.</t>
      </text>
    </comment>
    <comment ref="B86" authorId="0" shapeId="0">
      <text>
        <t>Threshold used for the health factor. 0.80 means 80%.</t>
      </text>
    </comment>
    <comment ref="B87" authorId="0" shapeId="0">
      <text>
        <t>The cap from the lesson. 0.30 means 30%.</t>
      </text>
    </comment>
    <comment ref="B90" authorId="0" shapeId="0">
      <text>
        <t>Price you entered at.</t>
      </text>
    </comment>
    <comment ref="B91" authorId="0" shapeId="0">
      <text>
        <t>Isolated leverage.</t>
      </text>
    </comment>
    <comment ref="B92" authorId="0" shapeId="0">
      <text>
        <t>Type 1 for a long or -1 for a short.</t>
      </text>
    </comment>
    <comment ref="B93" authorId="0" shapeId="0">
      <text>
        <t>Maintenance margin, in percentage points.</t>
      </text>
    </comment>
    <comment ref="B96" authorId="0" shapeId="0">
      <text>
        <t>First period, in percentage points. Negative is allowed.</t>
      </text>
    </comment>
    <comment ref="B97" authorId="0" shapeId="0">
      <text>
        <t>Second period.</t>
      </text>
    </comment>
    <comment ref="B98" authorId="0" shapeId="0">
      <text>
        <t>Third period. Leave later periods blank.</t>
      </text>
    </comment>
    <comment ref="B99" authorId="0" shapeId="0">
      <text>
        <t>Optional.</t>
      </text>
    </comment>
    <comment ref="B102" authorId="0" shapeId="0">
      <text>
        <t>Units of collateral.</t>
      </text>
    </comment>
    <comment ref="B103" authorId="0" shapeId="0">
      <text>
        <t>Price per unit.</t>
      </text>
    </comment>
    <comment ref="B104" authorId="0" shapeId="0">
      <text>
        <t>Amount you mint.</t>
      </text>
    </comment>
    <comment ref="B105" authorId="0" shapeId="0">
      <text>
        <t>150 means 150%.</t>
      </text>
    </comment>
    <comment ref="B106" authorId="0" shapeId="0">
      <text>
        <t>Annual fee on the minted amount.</t>
      </text>
    </comment>
    <comment ref="B109" authorId="0" shapeId="0">
      <text>
        <t>The funding rate for one 8-hour period.</t>
      </text>
    </comment>
    <comment ref="B110" authorId="0" shapeId="0">
      <text>
        <t>Leverage on the short leg.</t>
      </text>
    </comment>
    <comment ref="B114" authorId="0" shapeId="0">
      <text>
        <t>Size of the position.</t>
      </text>
    </comment>
    <comment ref="B115" authorId="0" shapeId="0">
      <text>
        <t>Annualised volatility.</t>
      </text>
    </comment>
    <comment ref="B116" authorId="0" shapeId="0">
      <text>
        <t>1.65 is about a 95% one-day estimate. 2.33 is about 99%.</t>
      </text>
    </comment>
  </commentList>
</comments>
</file>

<file path=xl/comments/comment2.xml><?xml version="1.0" encoding="utf-8"?>
<comments xmlns="http://schemas.openxmlformats.org/spreadsheetml/2006/main">
  <authors>
    <author>On-Chain Operator Program</author>
  </authors>
  <commentList>
    <comment ref="B5" authorId="0" shapeId="0">
      <text>
        <t>Lesson example. Market value of collateral.</t>
      </text>
    </comment>
    <comment ref="B7" authorId="0" shapeId="0">
      <text>
        <t>Cash you can use without selling a position.</t>
      </text>
    </comment>
    <comment ref="B10" authorId="0" shapeId="0">
      <text>
        <t>Lesson example.</t>
      </text>
    </comment>
    <comment ref="B14" authorId="0" shapeId="0">
      <text>
        <t>0.80 means 80%.</t>
      </text>
    </comment>
    <comment ref="B15" authorId="0" shapeId="0">
      <text>
        <t>5 means 5%.</t>
      </text>
    </comment>
    <comment ref="B16" authorId="0" shapeId="0">
      <text>
        <t>Spending the reserve must also cover.</t>
      </text>
    </comment>
  </commentList>
</comments>
</file>

<file path=xl/comments/comment3.xml><?xml version="1.0" encoding="utf-8"?>
<comments xmlns="http://schemas.openxmlformats.org/spreadsheetml/2006/main">
  <authors>
    <author>On-Chain Operator Program</author>
  </authors>
  <commentList>
    <comment ref="B5" authorId="0" shapeId="0">
      <text>
        <t>0.30 means 30%, the lesson cap. Compared with W6 LTV.</t>
      </text>
    </comment>
    <comment ref="B6" authorId="0" shapeId="0">
      <text>
        <t>The lesson floor is 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07111C"/>
    <outlinePr summaryBelow="1" summaryRight="1"/>
    <pageSetUpPr fitToPage="1"/>
  </sheetPr>
  <dimension ref="A1:D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18" customWidth="1" min="3" max="3"/>
    <col width="18" customWidth="1" min="4" max="4"/>
  </cols>
  <sheetData>
    <row r="1" ht="28" customHeight="1">
      <c r="A1" s="1" t="inlineStr">
        <is>
          <t>On-Chain Operator worksheets</t>
        </is>
      </c>
    </row>
    <row r="2" ht="18" customHeight="1">
      <c r="A2" s="2" t="inlineStr">
        <is>
          <t>Seventeen worksheets and the calculators they use</t>
        </is>
      </c>
    </row>
    <row r="3" ht="48" customHeight="1">
      <c r="A3" s="3" t="inlineStr">
        <is>
          <t>Type in the yellow cells. Green cells are formulas, so leave them alone. Numbers already filled in on Tools are the lesson examples. They are for learning, not a forecast. Educational only. Not financial, tax, or legal advice. Never type a seed phrase, private key, API key, or password.</t>
        </is>
      </c>
    </row>
    <row r="5" ht="22" customHeight="1">
      <c r="A5" s="4" t="inlineStr">
        <is>
          <t>Sheet</t>
        </is>
      </c>
      <c r="B5" s="4" t="inlineStr">
        <is>
          <t>What you do with it</t>
        </is>
      </c>
      <c r="C5" s="4" t="inlineStr">
        <is>
          <t>Lesson</t>
        </is>
      </c>
    </row>
    <row r="6" ht="28" customHeight="1">
      <c r="A6" s="5" t="inlineStr">
        <is>
          <t>Tools</t>
        </is>
      </c>
      <c r="B6" s="6" t="inlineStr">
        <is>
          <t>Change a yellow number and read the green answer. Same formulas as the course calculators.</t>
        </is>
      </c>
      <c r="C6" s="6" t="inlineStr">
        <is>
          <t>Lessons 2–14</t>
        </is>
      </c>
    </row>
    <row r="7" ht="28" customHeight="1">
      <c r="A7" s="7" t="inlineStr">
        <is>
          <t>W1 Records</t>
        </is>
      </c>
      <c r="B7" s="8" t="inlineStr">
        <is>
          <t>Log every buy, sell, transfer, swap, fee, and income line.</t>
        </is>
      </c>
      <c r="C7" s="8" t="inlineStr">
        <is>
          <t>0.3</t>
        </is>
      </c>
    </row>
    <row r="8" ht="28" customHeight="1">
      <c r="A8" s="5" t="inlineStr">
        <is>
          <t>W2 Journal</t>
        </is>
      </c>
      <c r="B8" s="6" t="inlineStr">
        <is>
          <t>One row per position: thesis, kill rules, and the weekly result.</t>
        </is>
      </c>
      <c r="C8" s="6" t="inlineStr">
        <is>
          <t>8.4</t>
        </is>
      </c>
    </row>
    <row r="9" ht="28" customHeight="1">
      <c r="A9" s="7" t="inlineStr">
        <is>
          <t>W3 Due diligence</t>
        </is>
      </c>
      <c r="B9" s="8" t="inlineStr">
        <is>
          <t>Walk a protocol through the six checks before you use it.</t>
        </is>
      </c>
      <c r="C9" s="8" t="inlineStr">
        <is>
          <t>Module 6</t>
        </is>
      </c>
    </row>
    <row r="10" ht="28" customHeight="1">
      <c r="A10" s="5" t="inlineStr">
        <is>
          <t>W4 Risk register</t>
        </is>
      </c>
      <c r="B10" s="6" t="inlineStr">
        <is>
          <t>Score likelihood times impact. A score of 20 or more is a don't-hold.</t>
        </is>
      </c>
      <c r="C10" s="6" t="inlineStr">
        <is>
          <t>8.2</t>
        </is>
      </c>
    </row>
    <row r="11" ht="28" customHeight="1">
      <c r="A11" s="7" t="inlineStr">
        <is>
          <t>W5 Portfolio</t>
        </is>
      </c>
      <c r="B11" s="8" t="inlineStr">
        <is>
          <t>Set bucket targets. The sheet adds them up and flags a total that is not 100%.</t>
        </is>
      </c>
      <c r="C11" s="8" t="inlineStr">
        <is>
          <t>8.1</t>
        </is>
      </c>
    </row>
    <row r="12" ht="28" customHeight="1">
      <c r="A12" s="5" t="inlineStr">
        <is>
          <t>W6 Balance sheet</t>
        </is>
      </c>
      <c r="B12" s="6" t="inlineStr">
        <is>
          <t>Enter assets and liabilities. Equity, LTV, health factor, and runway calculate.</t>
        </is>
      </c>
      <c r="C12" s="6" t="inlineStr">
        <is>
          <t>12.1</t>
        </is>
      </c>
    </row>
    <row r="13" ht="28" customHeight="1">
      <c r="A13" s="7" t="inlineStr">
        <is>
          <t>W7 Custody</t>
        </is>
      </c>
      <c r="B13" s="8" t="inlineStr">
        <is>
          <t>Write the policy: vault, operating wallet, hot float, and a recovery test. No secrets.</t>
        </is>
      </c>
      <c r="C13" s="8" t="inlineStr">
        <is>
          <t>12.2</t>
        </is>
      </c>
    </row>
    <row r="14" ht="28" customHeight="1">
      <c r="A14" s="5" t="inlineStr">
        <is>
          <t>W8 Credit policy</t>
        </is>
      </c>
      <c r="B14" s="6" t="inlineStr">
        <is>
          <t>Set the LTV cap and the health-factor floor, then check them against W6.</t>
        </is>
      </c>
      <c r="C14" s="6" t="inlineStr">
        <is>
          <t>12.3</t>
        </is>
      </c>
    </row>
    <row r="15" ht="28" customHeight="1">
      <c r="A15" s="7" t="inlineStr">
        <is>
          <t>W9 Liquidity</t>
        </is>
      </c>
      <c r="B15" s="8" t="inlineStr">
        <is>
          <t>Ladder cash by how fast you can reach it, and see the gap to each target.</t>
        </is>
      </c>
      <c r="C15" s="8" t="inlineStr">
        <is>
          <t>12.4</t>
        </is>
      </c>
    </row>
    <row r="16" ht="28" customHeight="1">
      <c r="A16" s="5" t="inlineStr">
        <is>
          <t>W10 Lending</t>
        </is>
      </c>
      <c r="B16" s="6" t="inlineStr">
        <is>
          <t>Record each market and its assumed loss. Expected loss calculates.</t>
        </is>
      </c>
      <c r="C16" s="6" t="inlineStr">
        <is>
          <t>12.5</t>
        </is>
      </c>
    </row>
    <row r="17" ht="28" customHeight="1">
      <c r="A17" s="7" t="inlineStr">
        <is>
          <t>W11 Income</t>
        </is>
      </c>
      <c r="B17" s="8" t="inlineStr">
        <is>
          <t>List positions. The sheet blends the risk-adjusted yield and the payout.</t>
        </is>
      </c>
      <c r="C17" s="8" t="inlineStr">
        <is>
          <t>Module 13</t>
        </is>
      </c>
    </row>
    <row r="18" ht="28" customHeight="1">
      <c r="A18" s="5" t="inlineStr">
        <is>
          <t>W12 Stress test</t>
        </is>
      </c>
      <c r="B18" s="6" t="inlineStr">
        <is>
          <t>Five scenarios are already named. You fill the loss and the fix.</t>
        </is>
      </c>
      <c r="C18" s="6" t="inlineStr">
        <is>
          <t>11.4</t>
        </is>
      </c>
    </row>
    <row r="19" ht="28" customHeight="1">
      <c r="A19" s="7" t="inlineStr">
        <is>
          <t>W13 Incident</t>
        </is>
      </c>
      <c r="B19" s="8" t="inlineStr">
        <is>
          <t>Official channel, containment, and who you call. Roles, not keys.</t>
        </is>
      </c>
      <c r="C19" s="8" t="inlineStr">
        <is>
          <t>11.5</t>
        </is>
      </c>
    </row>
    <row r="20" ht="28" customHeight="1">
      <c r="A20" s="5" t="inlineStr">
        <is>
          <t>W14 Alerts</t>
        </is>
      </c>
      <c r="B20" s="6" t="inlineStr">
        <is>
          <t>Threshold, tool, and the action you will take.</t>
        </is>
      </c>
      <c r="C20" s="6" t="inlineStr">
        <is>
          <t>14.1</t>
        </is>
      </c>
    </row>
    <row r="21" ht="28" customHeight="1">
      <c r="A21" s="7" t="inlineStr">
        <is>
          <t>W15 Automation</t>
        </is>
      </c>
      <c r="B21" s="8" t="inlineStr">
        <is>
          <t>What each bot is allowed to do, the cap, and how you revoke it.</t>
        </is>
      </c>
      <c r="C21" s="8" t="inlineStr">
        <is>
          <t>14.2</t>
        </is>
      </c>
    </row>
    <row r="22" ht="28" customHeight="1">
      <c r="A22" s="5" t="inlineStr">
        <is>
          <t>W16 Annual review</t>
        </is>
      </c>
      <c r="B22" s="6" t="inlineStr">
        <is>
          <t>Start and end equity, income against the plan, and whether the drill happened.</t>
        </is>
      </c>
      <c r="C22" s="6" t="inlineStr">
        <is>
          <t>13.5</t>
        </is>
      </c>
    </row>
    <row r="23" ht="28" customHeight="1">
      <c r="A23" s="7" t="inlineStr">
        <is>
          <t>W17 Letter</t>
        </is>
      </c>
      <c r="B23" s="8" t="inlineStr">
        <is>
          <t>Instructions for an executor. Store it apart from any key. No seeds.</t>
        </is>
      </c>
      <c r="C23" s="8" t="inlineStr">
        <is>
          <t>12.6</t>
        </is>
      </c>
    </row>
    <row r="26">
      <c r="A26" s="9" t="inlineStr">
        <is>
          <t>How to open this file</t>
        </is>
      </c>
    </row>
    <row r="27" ht="20" customHeight="1">
      <c r="A27" s="10" t="inlineStr">
        <is>
          <t>Excel, LibreOffice Calc, and Apple Numbers open the file directly.</t>
        </is>
      </c>
    </row>
    <row r="28" ht="20" customHeight="1">
      <c r="A28" s="10" t="inlineStr">
        <is>
          <t>Google Sheets: File, Import, Upload, and choose this workbook.</t>
        </is>
      </c>
    </row>
    <row r="29" ht="20" customHeight="1">
      <c r="A29" s="10" t="inlineStr">
        <is>
          <t>Yellow cells are yours. Green cells are the course formulas.</t>
        </is>
      </c>
    </row>
    <row r="30" ht="20" customHeight="1">
      <c r="A30" s="10" t="inlineStr">
        <is>
          <t>The Tools sheet, the balance sheet, and the income sheet are prefilled with the lesson examples. Replace them with your own.</t>
        </is>
      </c>
    </row>
    <row r="31" ht="20" customHeight="1">
      <c r="A31" s="10" t="inlineStr">
        <is>
          <t>Yellow cells are typed as the lesson writes them: 3.5 means 3.5%, and 0.80 means 80% where the label says 0 to 1.</t>
        </is>
      </c>
    </row>
    <row r="32" ht="20" customHeight="1">
      <c r="A32" s="10" t="inlineStr">
        <is>
          <t>The health factor, the loop, the income payout, and the risk score update when you type. Print a sheet when you want paper. The formulas stay live in this file.</t>
        </is>
      </c>
    </row>
    <row r="33" ht="20" customHeight="1">
      <c r="A33" s="10" t="inlineStr">
        <is>
          <t>Sheets are protected so a formula is not overwritten. There is no password. In Excel: Review, Unprotect Sheet.</t>
        </is>
      </c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5:C23"/>
  <mergeCells count="10">
    <mergeCell ref="A28:C28"/>
    <mergeCell ref="A1:D1"/>
    <mergeCell ref="A33:C33"/>
    <mergeCell ref="A32:C32"/>
    <mergeCell ref="A31:C31"/>
    <mergeCell ref="A3:D3"/>
    <mergeCell ref="A27:C27"/>
    <mergeCell ref="A30:C30"/>
    <mergeCell ref="A2:D2"/>
    <mergeCell ref="A29:C29"/>
  </mergeCells>
  <hyperlinks>
    <hyperlink ref="A6" location="'Tools'!A1" tooltip="Change a yellow number and read the green answer. Same formulas as the course calculators."/>
    <hyperlink ref="A7" location="'W1 Records'!A1" tooltip="Log every buy, sell, transfer, swap, fee, and income line."/>
    <hyperlink ref="A8" location="'W2 Journal'!A1" tooltip="One row per position: thesis, kill rules, and the weekly result."/>
    <hyperlink ref="A9" location="'W3 Due diligence'!A1" tooltip="Walk a protocol through the six checks before you use it."/>
    <hyperlink ref="A10" location="'W4 Risk register'!A1" tooltip="Score likelihood times impact. A score of 20 or more is a don't-hold."/>
    <hyperlink ref="A11" location="'W5 Portfolio'!A1" tooltip="Set bucket targets. The sheet adds them up and flags a total that is not 100%."/>
    <hyperlink ref="A12" location="'W6 Balance sheet'!A1" tooltip="Enter assets and liabilities. Equity, LTV, health factor, and runway calculate."/>
    <hyperlink ref="A13" location="'W7 Custody'!A1" tooltip="Write the policy: vault, operating wallet, hot float, and a recovery test. No secrets."/>
    <hyperlink ref="A14" location="'W8 Credit policy'!A1" tooltip="Set the LTV cap and the health-factor floor, then check them against W6."/>
    <hyperlink ref="A15" location="'W9 Liquidity'!A1" tooltip="Ladder cash by how fast you can reach it, and see the gap to each target."/>
    <hyperlink ref="A16" location="'W10 Lending'!A1" tooltip="Record each market and its assumed loss. Expected loss calculates."/>
    <hyperlink ref="A17" location="'W11 Income'!A1" tooltip="List positions. The sheet blends the risk-adjusted yield and the payout."/>
    <hyperlink ref="A18" location="'W12 Stress test'!A1" tooltip="Five scenarios are already named. You fill the loss and the fix."/>
    <hyperlink ref="A19" location="'W13 Incident'!A1" tooltip="Official channel, containment, and who you call. Roles, not keys."/>
    <hyperlink ref="A20" location="'W14 Alerts'!A1" tooltip="Threshold, tool, and the action you will take."/>
    <hyperlink ref="A21" location="'W15 Automation'!A1" tooltip="What each bot is allowed to do, the cap, and how you revoke it."/>
    <hyperlink ref="A22" location="'W16 Annual review'!A1" tooltip="Start and end equity, income against the plan, and whether the drill happened."/>
    <hyperlink ref="A23" location="'W17 Letter'!A1" tooltip="Instructions for an executor. Store it apart from any key. No seeds."/>
  </hyperlinks>
  <pageMargins left="0.5" right="0.5" top="0.6" bottom="0.6" header="0.25" footer="0.25"/>
  <pageSetup orientation="landscape" paperSize="3" fitToHeight="0" fitToWidth="1"/>
  <headerFooter>
    <oddHeader>&amp;LOn-Chain Operator Program&amp;COn-Chain Operator worksheets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A5C48"/>
    <outlinePr summaryBelow="1" summaryRight="1"/>
    <pageSetUpPr fitToPage="1"/>
  </sheetPr>
  <dimension ref="A1:E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" customWidth="1" min="3" max="3"/>
    <col width="42" customWidth="1" min="4" max="4"/>
    <col width="22" customWidth="1" min="5" max="5"/>
  </cols>
  <sheetData>
    <row r="1" ht="28" customHeight="1">
      <c r="A1" s="1" t="inlineStr">
        <is>
          <t>Calculators</t>
        </is>
      </c>
    </row>
    <row r="2" ht="18" customHeight="1">
      <c r="A2" s="2" t="inlineStr">
        <is>
          <t>Lesson examples are already filled in. Change any yellow cell.</t>
        </is>
      </c>
    </row>
    <row r="3" ht="36" customHeight="1">
      <c r="A3" s="3" t="inlineStr">
        <is>
          <t>Green answers use the course formulas. They are illustrations for learning, not a forecast and not a promise of a result. Educational only. Not financial, tax, or legal advice. Never type a seed phrase, private key, API key, or password.</t>
        </is>
      </c>
    </row>
    <row r="4">
      <c r="A4" s="11" t="inlineStr">
        <is>
          <t>You type here</t>
        </is>
      </c>
      <c r="B4" s="12" t="inlineStr">
        <is>
          <t>Yellow input</t>
        </is>
      </c>
      <c r="D4" s="13" t="inlineStr">
        <is>
          <t>The sheet answers</t>
        </is>
      </c>
      <c r="E4" s="14" t="inlineStr">
        <is>
          <t>Green formula</t>
        </is>
      </c>
    </row>
    <row r="6" ht="22" customHeight="1">
      <c r="A6" s="15" t="inlineStr">
        <is>
          <t>Health factor and liquidation price   ·   Lesson 3.2</t>
        </is>
      </c>
    </row>
    <row r="7">
      <c r="A7" s="16" t="inlineStr">
        <is>
          <t>Collateral quantity</t>
        </is>
      </c>
      <c r="B7" s="17" t="n">
        <v>10</v>
      </c>
      <c r="D7" s="18" t="inlineStr">
        <is>
          <t>Collateral value</t>
        </is>
      </c>
      <c r="E7" s="19">
        <f>B7*B8</f>
        <v/>
      </c>
    </row>
    <row r="8">
      <c r="A8" s="16" t="inlineStr">
        <is>
          <t>Collateral price</t>
        </is>
      </c>
      <c r="B8" s="20" t="n">
        <v>3000</v>
      </c>
      <c r="D8" s="18" t="inlineStr">
        <is>
          <t>LTV</t>
        </is>
      </c>
      <c r="E8" s="21">
        <f>IF(B7*B8=0,"",B10/(B7*B8))</f>
        <v/>
      </c>
    </row>
    <row r="9">
      <c r="A9" s="16" t="inlineStr">
        <is>
          <t>Liquidation threshold (0 to 1)</t>
        </is>
      </c>
      <c r="B9" s="17" t="n">
        <v>0.8</v>
      </c>
      <c r="D9" s="18" t="inlineStr">
        <is>
          <t>Health factor</t>
        </is>
      </c>
      <c r="E9" s="22">
        <f>IF(B10=0,"",B7*B8*B9/B10)</f>
        <v/>
      </c>
    </row>
    <row r="10">
      <c r="A10" s="16" t="inlineStr">
        <is>
          <t>Debt</t>
        </is>
      </c>
      <c r="B10" s="20" t="n">
        <v>12000</v>
      </c>
      <c r="D10" s="18" t="inlineStr">
        <is>
          <t>Liquidation price</t>
        </is>
      </c>
      <c r="E10" s="19">
        <f>IF(B7*B9=0,"",B10/(B7*B9))</f>
        <v/>
      </c>
    </row>
    <row r="11">
      <c r="D11" s="18" t="inlineStr">
        <is>
          <t>Max debt for HF 2</t>
        </is>
      </c>
      <c r="E11" s="19">
        <f>IF(B9=0,"",B7*B8*B9/2)</f>
        <v/>
      </c>
    </row>
    <row r="13" ht="22" customHeight="1">
      <c r="A13" s="15" t="inlineStr">
        <is>
          <t>Leveraged loop   ·   Lesson 3.4</t>
        </is>
      </c>
    </row>
    <row r="14">
      <c r="A14" s="16" t="inlineStr">
        <is>
          <t>Borrow LTV (0 to 1)</t>
        </is>
      </c>
      <c r="B14" s="17" t="n">
        <v>0.7</v>
      </c>
      <c r="D14" s="18" t="inlineStr">
        <is>
          <t>Leverage</t>
        </is>
      </c>
      <c r="E14" s="23">
        <f>IF(OR(B14&lt;=0,B14&gt;=1),"", (1-B14^(B15+1))/(1-B14))</f>
        <v/>
      </c>
    </row>
    <row r="15">
      <c r="A15" s="16" t="inlineStr">
        <is>
          <t>Loops</t>
        </is>
      </c>
      <c r="B15" s="24" t="n">
        <v>3</v>
      </c>
      <c r="D15" s="18" t="inlineStr">
        <is>
          <t>Net APY on equity</t>
        </is>
      </c>
      <c r="E15" s="25">
        <f>IF(OR(B14&lt;=0,B14&gt;=1),"",B16*E14-B17*(E14-1))</f>
        <v/>
      </c>
    </row>
    <row r="16">
      <c r="A16" s="16" t="inlineStr">
        <is>
          <t>Collateral APY</t>
        </is>
      </c>
      <c r="B16" s="26" t="n">
        <v>3.5</v>
      </c>
      <c r="D16" s="18" t="inlineStr">
        <is>
          <t>Breakeven borrow APY</t>
        </is>
      </c>
      <c r="E16" s="25">
        <f>IF(OR(E14="",E14&lt;=1),"",B16*E14/(E14-1))</f>
        <v/>
      </c>
    </row>
    <row r="17">
      <c r="A17" s="16" t="inlineStr">
        <is>
          <t>Borrow APY</t>
        </is>
      </c>
      <c r="B17" s="26" t="n">
        <v>2.5</v>
      </c>
    </row>
    <row r="19" ht="22" customHeight="1">
      <c r="A19" s="15" t="inlineStr">
        <is>
          <t>Impermanent loss vs holding   ·   Lesson 2.4</t>
        </is>
      </c>
    </row>
    <row r="20">
      <c r="A20" s="16" t="inlineStr">
        <is>
          <t>Price ratio (end ÷ start)</t>
        </is>
      </c>
      <c r="B20" s="17" t="n">
        <v>2</v>
      </c>
      <c r="D20" s="18" t="inlineStr">
        <is>
          <t>IL vs holding</t>
        </is>
      </c>
      <c r="E20" s="25">
        <f>((2*SQRT(B20)/(1+B20))-1)*100</f>
        <v/>
      </c>
    </row>
    <row r="22" ht="22" customHeight="1">
      <c r="A22" s="15" t="inlineStr">
        <is>
          <t>LP fee breakeven   ·   Lesson 2.4</t>
        </is>
      </c>
    </row>
    <row r="23">
      <c r="A23" s="16" t="inlineStr">
        <is>
          <t>Price ratio</t>
        </is>
      </c>
      <c r="B23" s="17" t="n">
        <v>2</v>
      </c>
      <c r="D23" s="18" t="inlineStr">
        <is>
          <t>IL over the period</t>
        </is>
      </c>
      <c r="E23" s="25">
        <f>-( (2*SQRT(B23)/(1+B23))-1 )*100</f>
        <v/>
      </c>
    </row>
    <row r="24">
      <c r="A24" s="16" t="inlineStr">
        <is>
          <t>Days held</t>
        </is>
      </c>
      <c r="B24" s="24" t="n">
        <v>90</v>
      </c>
      <c r="D24" s="18" t="inlineStr">
        <is>
          <t>Fee APR to match holding</t>
        </is>
      </c>
      <c r="E24" s="25">
        <f>IF(B24=0,"",E23*365/B24)</f>
        <v/>
      </c>
    </row>
    <row r="25">
      <c r="A25" s="16" t="inlineStr">
        <is>
          <t>Fee APR you expect</t>
        </is>
      </c>
      <c r="B25" s="26" t="n">
        <v>20</v>
      </c>
      <c r="D25" s="18" t="inlineStr">
        <is>
          <t>Fees earned over the days</t>
        </is>
      </c>
      <c r="E25" s="25">
        <f>IF(B25="","",B25*B24/365)</f>
        <v/>
      </c>
    </row>
    <row r="26">
      <c r="D26" s="18" t="inlineStr">
        <is>
          <t>Fees minus IL</t>
        </is>
      </c>
      <c r="E26" s="25">
        <f>IF(B25="","",E25-E23)</f>
        <v/>
      </c>
    </row>
    <row r="28" ht="22" customHeight="1">
      <c r="A28" s="15" t="inlineStr">
        <is>
          <t>Concentrated liquidity efficiency   ·   Lesson 2.6</t>
        </is>
      </c>
    </row>
    <row r="29">
      <c r="A29" s="16" t="inlineStr">
        <is>
          <t>Range low</t>
        </is>
      </c>
      <c r="B29" s="20" t="n">
        <v>1800</v>
      </c>
      <c r="D29" s="18" t="inlineStr">
        <is>
          <t>Geometric mid</t>
        </is>
      </c>
      <c r="E29" s="19">
        <f>IF(OR(B29&lt;=0,B30&lt;=B29),"",SQRT(B29*B30))</f>
        <v/>
      </c>
    </row>
    <row r="30">
      <c r="A30" s="16" t="inlineStr">
        <is>
          <t>Range high</t>
        </is>
      </c>
      <c r="B30" s="20" t="n">
        <v>3000</v>
      </c>
      <c r="D30" s="18" t="inlineStr">
        <is>
          <t>Capital efficiency vs full range</t>
        </is>
      </c>
      <c r="E30" s="27">
        <f>IF(OR(B29&lt;=0,B30&lt;=B29),"",1/(1-(B29/B30)^0.25))</f>
        <v/>
      </c>
    </row>
    <row r="32" ht="22" customHeight="1">
      <c r="A32" s="15" t="inlineStr">
        <is>
          <t>Loss versus rebalancing   ·   Lesson 2.7</t>
        </is>
      </c>
    </row>
    <row r="33">
      <c r="A33" s="16" t="inlineStr">
        <is>
          <t>Volatility per year</t>
        </is>
      </c>
      <c r="B33" s="26" t="n">
        <v>80</v>
      </c>
      <c r="D33" s="18" t="inlineStr">
        <is>
          <t>LVR per year</t>
        </is>
      </c>
      <c r="E33" s="25">
        <f>(B33/100)^2/8*100</f>
        <v/>
      </c>
    </row>
    <row r="34">
      <c r="A34" s="16" t="inlineStr">
        <is>
          <t>Fee APR</t>
        </is>
      </c>
      <c r="B34" s="26" t="n">
        <v>12</v>
      </c>
      <c r="D34" s="18" t="inlineStr">
        <is>
          <t>Fees minus LVR</t>
        </is>
      </c>
      <c r="E34" s="25">
        <f>IF(B34="","",B34-E33)</f>
        <v/>
      </c>
    </row>
    <row r="36" ht="22" customHeight="1">
      <c r="A36" s="15" t="inlineStr">
        <is>
          <t>Lending supply APY   ·   Lesson 4.2</t>
        </is>
      </c>
    </row>
    <row r="37">
      <c r="A37" s="16" t="inlineStr">
        <is>
          <t>Borrow APY</t>
        </is>
      </c>
      <c r="B37" s="26" t="n">
        <v>5</v>
      </c>
      <c r="D37" s="18" t="inlineStr">
        <is>
          <t>Supply APY</t>
        </is>
      </c>
      <c r="E37" s="25">
        <f>B37*B38*(1-B39)</f>
        <v/>
      </c>
    </row>
    <row r="38">
      <c r="A38" s="16" t="inlineStr">
        <is>
          <t>Utilisation (0 to 1)</t>
        </is>
      </c>
      <c r="B38" s="17" t="n">
        <v>0.8</v>
      </c>
    </row>
    <row r="39">
      <c r="A39" s="16" t="inlineStr">
        <is>
          <t>Reserve factor (0 to 1)</t>
        </is>
      </c>
      <c r="B39" s="17" t="n">
        <v>0.1</v>
      </c>
    </row>
    <row r="41" ht="22" customHeight="1">
      <c r="A41" s="15" t="inlineStr">
        <is>
          <t>APR, APY, and gas   ·   Lesson 4.1</t>
        </is>
      </c>
    </row>
    <row r="42">
      <c r="A42" s="16" t="inlineStr">
        <is>
          <t>APR</t>
        </is>
      </c>
      <c r="B42" s="26" t="n">
        <v>12</v>
      </c>
      <c r="D42" s="18" t="inlineStr">
        <is>
          <t>APY before gas</t>
        </is>
      </c>
      <c r="E42" s="25">
        <f>IF(OR(B43&lt;=0),"",( (1+B42/100/B43)^B43 - 1)*100)</f>
        <v/>
      </c>
    </row>
    <row r="43">
      <c r="A43" s="16" t="inlineStr">
        <is>
          <t>Compounds per year</t>
        </is>
      </c>
      <c r="B43" s="24" t="n">
        <v>365</v>
      </c>
      <c r="D43" s="18" t="inlineStr">
        <is>
          <t>Gas drag</t>
        </is>
      </c>
      <c r="E43" s="25">
        <f>IF(OR(B44="",B44=0,B45=""),"",B45*B43/B44*100)</f>
        <v/>
      </c>
    </row>
    <row r="44">
      <c r="A44" s="16" t="inlineStr">
        <is>
          <t>Position size</t>
        </is>
      </c>
      <c r="B44" s="20" t="n">
        <v>10000</v>
      </c>
      <c r="D44" s="18" t="inlineStr">
        <is>
          <t>APY after gas</t>
        </is>
      </c>
      <c r="E44" s="25">
        <f>IF(E43="","",E42-E43)</f>
        <v/>
      </c>
    </row>
    <row r="45">
      <c r="A45" s="16" t="inlineStr">
        <is>
          <t>Gas per compound</t>
        </is>
      </c>
      <c r="B45" s="20" t="n">
        <v>2</v>
      </c>
    </row>
    <row r="47" ht="22" customHeight="1">
      <c r="A47" s="15" t="inlineStr">
        <is>
          <t>Airdrop expected value   ·   Lesson 4.6</t>
        </is>
      </c>
    </row>
    <row r="48">
      <c r="A48" s="16" t="inlineStr">
        <is>
          <t>Probability (0 to 1)</t>
        </is>
      </c>
      <c r="B48" s="17" t="n">
        <v>0.3</v>
      </c>
      <c r="D48" s="18" t="inlineStr">
        <is>
          <t>Expected value</t>
        </is>
      </c>
      <c r="E48" s="19">
        <f>B48*B49-B50</f>
        <v/>
      </c>
    </row>
    <row r="49">
      <c r="A49" s="16" t="inlineStr">
        <is>
          <t>Value if it happens</t>
        </is>
      </c>
      <c r="B49" s="20" t="n">
        <v>1500</v>
      </c>
    </row>
    <row r="50">
      <c r="A50" s="16" t="inlineStr">
        <is>
          <t>Costs</t>
        </is>
      </c>
      <c r="B50" s="20" t="n">
        <v>200</v>
      </c>
    </row>
    <row r="52" ht="22" customHeight="1">
      <c r="A52" s="15" t="inlineStr">
        <is>
          <t>Principal token fixed yield   ·   Lesson 10.1</t>
        </is>
      </c>
    </row>
    <row r="53">
      <c r="A53" s="16" t="inlineStr">
        <is>
          <t>PT price (share of underlying)</t>
        </is>
      </c>
      <c r="B53" s="17" t="n">
        <v>0.95</v>
      </c>
      <c r="D53" s="18" t="inlineStr">
        <is>
          <t>Fixed APY if held</t>
        </is>
      </c>
      <c r="E53" s="28">
        <f>IF(OR(B53&lt;=0,B54=0),"",(B53^(-1))^(365/B54)-1)</f>
        <v/>
      </c>
    </row>
    <row r="54">
      <c r="A54" s="16" t="inlineStr">
        <is>
          <t>Days to maturity</t>
        </is>
      </c>
      <c r="B54" s="24" t="n">
        <v>180</v>
      </c>
    </row>
    <row r="56" ht="22" customHeight="1">
      <c r="A56" s="15" t="inlineStr">
        <is>
          <t>Cash-and-carry basis   ·   Lesson 10.3</t>
        </is>
      </c>
    </row>
    <row r="57">
      <c r="A57" s="16" t="inlineStr">
        <is>
          <t>Spot price</t>
        </is>
      </c>
      <c r="B57" s="20" t="n">
        <v>3000</v>
      </c>
      <c r="D57" s="18" t="inlineStr">
        <is>
          <t>Basis</t>
        </is>
      </c>
      <c r="E57" s="28">
        <f>IF(B57=0,"",B58/B57-1)</f>
        <v/>
      </c>
    </row>
    <row r="58">
      <c r="A58" s="16" t="inlineStr">
        <is>
          <t>Futures price</t>
        </is>
      </c>
      <c r="B58" s="20" t="n">
        <v>3150</v>
      </c>
      <c r="D58" s="18" t="inlineStr">
        <is>
          <t>Annualised, simple</t>
        </is>
      </c>
      <c r="E58" s="28">
        <f>IF(B59=0,"",E57*365/B59)</f>
        <v/>
      </c>
    </row>
    <row r="59">
      <c r="A59" s="16" t="inlineStr">
        <is>
          <t>Days to expiry</t>
        </is>
      </c>
      <c r="B59" s="24" t="n">
        <v>90</v>
      </c>
    </row>
    <row r="61" ht="22" customHeight="1">
      <c r="A61" s="15" t="inlineStr">
        <is>
          <t>Covered call   ·   Lesson 10.4</t>
        </is>
      </c>
    </row>
    <row r="62">
      <c r="A62" s="16" t="inlineStr">
        <is>
          <t>Spot price</t>
        </is>
      </c>
      <c r="B62" s="20" t="n">
        <v>3000</v>
      </c>
      <c r="D62" s="18" t="inlineStr">
        <is>
          <t>Annualised if repeated</t>
        </is>
      </c>
      <c r="E62" s="25">
        <f>IF(B65=0,"",B64*365/B65)</f>
        <v/>
      </c>
    </row>
    <row r="63">
      <c r="A63" s="16" t="inlineStr">
        <is>
          <t>Strike</t>
        </is>
      </c>
      <c r="B63" s="20" t="n">
        <v>3300</v>
      </c>
      <c r="D63" s="18" t="inlineStr">
        <is>
          <t>Max gain this period</t>
        </is>
      </c>
      <c r="E63" s="25">
        <f>IF(B62=0,"",B64+(B63/B62-1)*100)</f>
        <v/>
      </c>
    </row>
    <row r="64">
      <c r="A64" s="16" t="inlineStr">
        <is>
          <t>Premium</t>
        </is>
      </c>
      <c r="B64" s="26" t="n">
        <v>1.5</v>
      </c>
      <c r="D64" s="18" t="inlineStr">
        <is>
          <t>Break-even price</t>
        </is>
      </c>
      <c r="E64" s="19">
        <f>B62*(1-B64/100)</f>
        <v/>
      </c>
    </row>
    <row r="65">
      <c r="A65" s="16" t="inlineStr">
        <is>
          <t>Days in the period</t>
        </is>
      </c>
      <c r="B65" s="24" t="n">
        <v>7</v>
      </c>
    </row>
    <row r="67" ht="22" customHeight="1">
      <c r="A67" s="15" t="inlineStr">
        <is>
          <t>Risk-adjusted yield   ·   Lesson 13.2</t>
        </is>
      </c>
    </row>
    <row r="68">
      <c r="A68" s="16" t="inlineStr">
        <is>
          <t>Headline yield</t>
        </is>
      </c>
      <c r="B68" s="26" t="n">
        <v>12</v>
      </c>
      <c r="D68" s="18" t="inlineStr">
        <is>
          <t>Expected loss</t>
        </is>
      </c>
      <c r="E68" s="25">
        <f>B69*B70*100</f>
        <v/>
      </c>
    </row>
    <row r="69">
      <c r="A69" s="16" t="inlineStr">
        <is>
          <t>Loss probability (0 to 1)</t>
        </is>
      </c>
      <c r="B69" s="17" t="n">
        <v>0.05</v>
      </c>
      <c r="D69" s="18" t="inlineStr">
        <is>
          <t>Risk-adjusted result</t>
        </is>
      </c>
      <c r="E69" s="25">
        <f>B68-E68-B71</f>
        <v/>
      </c>
    </row>
    <row r="70">
      <c r="A70" s="16" t="inlineStr">
        <is>
          <t>Loss given default (0 to 1)</t>
        </is>
      </c>
      <c r="B70" s="17" t="n">
        <v>0.6</v>
      </c>
    </row>
    <row r="71">
      <c r="A71" s="16" t="inlineStr">
        <is>
          <t>Other costs</t>
        </is>
      </c>
      <c r="B71" s="26" t="n">
        <v>0.5</v>
      </c>
    </row>
    <row r="73" ht="22" customHeight="1">
      <c r="A73" s="15" t="inlineStr">
        <is>
          <t>Income and payout   ·   Module 13</t>
        </is>
      </c>
    </row>
    <row r="74">
      <c r="A74" s="16" t="inlineStr">
        <is>
          <t>Position amount</t>
        </is>
      </c>
      <c r="B74" s="20" t="n">
        <v>250000</v>
      </c>
      <c r="D74" s="18" t="inlineStr">
        <is>
          <t>Expected income per year</t>
        </is>
      </c>
      <c r="E74" s="19">
        <f>B74*B75/100</f>
        <v/>
      </c>
    </row>
    <row r="75">
      <c r="A75" s="16" t="inlineStr">
        <is>
          <t>Risk-adjusted yield</t>
        </is>
      </c>
      <c r="B75" s="26" t="n">
        <v>5</v>
      </c>
      <c r="D75" s="18" t="inlineStr">
        <is>
          <t>Payout per year</t>
        </is>
      </c>
      <c r="E75" s="19">
        <f>E74*B76</f>
        <v/>
      </c>
    </row>
    <row r="76">
      <c r="A76" s="16" t="inlineStr">
        <is>
          <t>Payout ratio (0 to 1)</t>
        </is>
      </c>
      <c r="B76" s="17" t="n">
        <v>0.7</v>
      </c>
      <c r="D76" s="18" t="inlineStr">
        <is>
          <t>Payout per month</t>
        </is>
      </c>
      <c r="E76" s="19">
        <f>E75/12</f>
        <v/>
      </c>
    </row>
    <row r="77">
      <c r="D77" s="18" t="inlineStr">
        <is>
          <t>Retained as a buffer</t>
        </is>
      </c>
      <c r="E77" s="19">
        <f>E74-E75</f>
        <v/>
      </c>
    </row>
    <row r="79" ht="22" customHeight="1">
      <c r="A79" s="15" t="inlineStr">
        <is>
          <t>Balance sheet check   ·   Lesson 12.1</t>
        </is>
      </c>
    </row>
    <row r="80">
      <c r="A80" s="16" t="inlineStr">
        <is>
          <t>Collateral</t>
        </is>
      </c>
      <c r="B80" s="20" t="n">
        <v>300000</v>
      </c>
      <c r="D80" s="18" t="inlineStr">
        <is>
          <t>Equity</t>
        </is>
      </c>
      <c r="E80" s="19">
        <f>B80+B81+B82-B83</f>
        <v/>
      </c>
    </row>
    <row r="81">
      <c r="A81" s="16" t="inlineStr">
        <is>
          <t>Reserve</t>
        </is>
      </c>
      <c r="B81" s="20" t="n">
        <v>40000</v>
      </c>
      <c r="D81" s="18" t="inlineStr">
        <is>
          <t>LTV</t>
        </is>
      </c>
      <c r="E81" s="21">
        <f>IF(B80=0,"",B83/B80)</f>
        <v/>
      </c>
    </row>
    <row r="82">
      <c r="A82" s="16" t="inlineStr">
        <is>
          <t>Other assets</t>
        </is>
      </c>
      <c r="B82" s="20" t="n">
        <v>0</v>
      </c>
      <c r="D82" s="18" t="inlineStr">
        <is>
          <t>Health factor</t>
        </is>
      </c>
      <c r="E82" s="22">
        <f>IF(B83=0,"",B80*B86/B83)</f>
        <v/>
      </c>
    </row>
    <row r="83">
      <c r="A83" s="16" t="inlineStr">
        <is>
          <t>Debt</t>
        </is>
      </c>
      <c r="B83" s="20" t="n">
        <v>60000</v>
      </c>
      <c r="D83" s="18" t="inlineStr">
        <is>
          <t>Reserve runway (months)</t>
        </is>
      </c>
      <c r="E83" s="29">
        <f>IF((B85+B83*B84/100/12)=0,"",B81/(B85+B83*B84/100/12))</f>
        <v/>
      </c>
    </row>
    <row r="84">
      <c r="A84" s="16" t="inlineStr">
        <is>
          <t>Borrow APY</t>
        </is>
      </c>
      <c r="B84" s="26" t="n">
        <v>5</v>
      </c>
      <c r="D84" s="18" t="inlineStr">
        <is>
          <t>LTV within policy</t>
        </is>
      </c>
      <c r="E84" s="30">
        <f>IF(E81="","",IF(E81&lt;=B87,"Yes","No"))</f>
        <v/>
      </c>
    </row>
    <row r="85">
      <c r="A85" s="16" t="inlineStr">
        <is>
          <t>Monthly spending</t>
        </is>
      </c>
      <c r="B85" s="20" t="n">
        <v>5000</v>
      </c>
      <c r="D85" s="18" t="inlineStr">
        <is>
          <t>Health factor at least 2</t>
        </is>
      </c>
      <c r="E85" s="30">
        <f>IF(E82="","",IF(E82&gt;=2,"Yes","No"))</f>
        <v/>
      </c>
    </row>
    <row r="86">
      <c r="A86" s="16" t="inlineStr">
        <is>
          <t>Liquidation threshold (0 to 1)</t>
        </is>
      </c>
      <c r="B86" s="17" t="n">
        <v>0.8</v>
      </c>
      <c r="D86" s="18" t="inlineStr">
        <is>
          <t>Reserve covers 6 months</t>
        </is>
      </c>
      <c r="E86" s="30">
        <f>IF(E83="","",IF(E83&gt;=6,"Yes","No"))</f>
        <v/>
      </c>
    </row>
    <row r="87">
      <c r="A87" s="16" t="inlineStr">
        <is>
          <t>Max LTV policy (0 to 1)</t>
        </is>
      </c>
      <c r="B87" s="17" t="n">
        <v>0.3</v>
      </c>
    </row>
    <row r="89" ht="22" customHeight="1">
      <c r="A89" s="15" t="inlineStr">
        <is>
          <t>Perp liquidation price   ·   Lesson 3.5</t>
        </is>
      </c>
    </row>
    <row r="90">
      <c r="A90" s="16" t="inlineStr">
        <is>
          <t>Entry price</t>
        </is>
      </c>
      <c r="B90" s="20" t="n">
        <v>3000</v>
      </c>
      <c r="D90" s="18" t="inlineStr">
        <is>
          <t>Liquidation price</t>
        </is>
      </c>
      <c r="E90" s="19">
        <f>IF(B91=0,"",B90*(1-B92*(1/B91-B93/100)))</f>
        <v/>
      </c>
    </row>
    <row r="91">
      <c r="A91" s="16" t="inlineStr">
        <is>
          <t>Leverage</t>
        </is>
      </c>
      <c r="B91" s="31" t="n">
        <v>5</v>
      </c>
      <c r="D91" s="18" t="inlineStr">
        <is>
          <t>Move to liquidation</t>
        </is>
      </c>
      <c r="E91" s="21">
        <f>IF(B90=0,"",E90/B90-1)</f>
        <v/>
      </c>
    </row>
    <row r="92">
      <c r="A92" s="16" t="inlineStr">
        <is>
          <t>Side (1 long, -1 short)</t>
        </is>
      </c>
      <c r="B92" s="24" t="n">
        <v>1</v>
      </c>
    </row>
    <row r="93">
      <c r="A93" s="16" t="inlineStr">
        <is>
          <t>Maintenance margin</t>
        </is>
      </c>
      <c r="B93" s="26" t="n">
        <v>0.5</v>
      </c>
    </row>
    <row r="95" ht="22" customHeight="1">
      <c r="A95" s="15" t="inlineStr">
        <is>
          <t>Time-weighted return   ·   Lesson 8.5</t>
        </is>
      </c>
    </row>
    <row r="96">
      <c r="A96" s="16" t="inlineStr">
        <is>
          <t>Period 1 return</t>
        </is>
      </c>
      <c r="B96" s="26" t="n">
        <v>4</v>
      </c>
      <c r="D96" s="18" t="inlineStr">
        <is>
          <t>Time-weighted return</t>
        </is>
      </c>
      <c r="E96" s="28">
        <f>(1+B96/100)*(1+B97/100)*(1+B98/100)*IF(B99="",1,1+B99/100)-1</f>
        <v/>
      </c>
    </row>
    <row r="97">
      <c r="A97" s="16" t="inlineStr">
        <is>
          <t>Period 2 return</t>
        </is>
      </c>
      <c r="B97" s="26" t="n">
        <v>-2</v>
      </c>
    </row>
    <row r="98">
      <c r="A98" s="16" t="inlineStr">
        <is>
          <t>Period 3 return</t>
        </is>
      </c>
      <c r="B98" s="26" t="n">
        <v>3</v>
      </c>
    </row>
    <row r="99">
      <c r="A99" s="16" t="inlineStr">
        <is>
          <t>Period 4 return</t>
        </is>
      </c>
      <c r="B99" s="26" t="n"/>
    </row>
    <row r="101" ht="22" customHeight="1">
      <c r="A101" s="15" t="inlineStr">
        <is>
          <t>CDP mint   ·   Lesson 3.7</t>
        </is>
      </c>
    </row>
    <row r="102">
      <c r="A102" s="16" t="inlineStr">
        <is>
          <t>Collateral quantity</t>
        </is>
      </c>
      <c r="B102" s="17" t="n">
        <v>10</v>
      </c>
      <c r="D102" s="18" t="inlineStr">
        <is>
          <t>Collateral value</t>
        </is>
      </c>
      <c r="E102" s="19">
        <f>B102*B103</f>
        <v/>
      </c>
    </row>
    <row r="103">
      <c r="A103" s="16" t="inlineStr">
        <is>
          <t>Collateral price</t>
        </is>
      </c>
      <c r="B103" s="20" t="n">
        <v>3000</v>
      </c>
      <c r="D103" s="18" t="inlineStr">
        <is>
          <t>Maximum mint</t>
        </is>
      </c>
      <c r="E103" s="19">
        <f>IF(B105=0,"",E102/(B105/100))</f>
        <v/>
      </c>
    </row>
    <row r="104">
      <c r="A104" s="16" t="inlineStr">
        <is>
          <t>Stablecoins to mint</t>
        </is>
      </c>
      <c r="B104" s="20" t="n">
        <v>10000</v>
      </c>
      <c r="D104" s="18" t="inlineStr">
        <is>
          <t>Collateral ratio</t>
        </is>
      </c>
      <c r="E104" s="32">
        <f>IF(B104=0,"",E102/B104)</f>
        <v/>
      </c>
    </row>
    <row r="105">
      <c r="A105" s="16" t="inlineStr">
        <is>
          <t>Minimum collateral ratio</t>
        </is>
      </c>
      <c r="B105" s="33" t="n">
        <v>150</v>
      </c>
      <c r="D105" s="18" t="inlineStr">
        <is>
          <t>Liquidation price</t>
        </is>
      </c>
      <c r="E105" s="19">
        <f>IF(B102=0,"",B104*(B105/100)/B102)</f>
        <v/>
      </c>
    </row>
    <row r="106">
      <c r="A106" s="16" t="inlineStr">
        <is>
          <t>Stability fee per year</t>
        </is>
      </c>
      <c r="B106" s="26" t="n">
        <v>6</v>
      </c>
      <c r="D106" s="18" t="inlineStr">
        <is>
          <t>Stability fee per year</t>
        </is>
      </c>
      <c r="E106" s="19">
        <f>B104*B106/100</f>
        <v/>
      </c>
    </row>
    <row r="108" ht="22" customHeight="1">
      <c r="A108" s="15" t="inlineStr">
        <is>
          <t>Funding carry   ·   Lesson 10.2</t>
        </is>
      </c>
    </row>
    <row r="109">
      <c r="A109" s="16" t="inlineStr">
        <is>
          <t>Funding rate per 8 hours</t>
        </is>
      </c>
      <c r="B109" s="26" t="n">
        <v>0.01</v>
      </c>
      <c r="D109" s="18" t="inlineStr">
        <is>
          <t>APR on the hedged size</t>
        </is>
      </c>
      <c r="E109" s="25">
        <f>B109*3*365</f>
        <v/>
      </c>
    </row>
    <row r="110">
      <c r="A110" s="16" t="inlineStr">
        <is>
          <t>Short leverage</t>
        </is>
      </c>
      <c r="B110" s="31" t="n">
        <v>2</v>
      </c>
      <c r="D110" s="18" t="inlineStr">
        <is>
          <t>Return on total capital</t>
        </is>
      </c>
      <c r="E110" s="25">
        <f>IF(B110=0,"",E109/(1+1/B110))</f>
        <v/>
      </c>
    </row>
    <row r="111">
      <c r="D111" s="18" t="inlineStr">
        <is>
          <t>Short liquidates near</t>
        </is>
      </c>
      <c r="E111" s="32">
        <f>IF(B110=0,"",1/B110)</f>
        <v/>
      </c>
    </row>
    <row r="113" ht="22" customHeight="1">
      <c r="A113" s="15" t="inlineStr">
        <is>
          <t>One-day value at risk   ·   Lesson 8.7</t>
        </is>
      </c>
    </row>
    <row r="114">
      <c r="A114" s="16" t="inlineStr">
        <is>
          <t>Position</t>
        </is>
      </c>
      <c r="B114" s="20" t="n">
        <v>100000</v>
      </c>
      <c r="D114" s="18" t="inlineStr">
        <is>
          <t>One-day VaR</t>
        </is>
      </c>
      <c r="E114" s="19">
        <f>B116*(B115/100)/SQRT(365)*B114</f>
        <v/>
      </c>
    </row>
    <row r="115">
      <c r="A115" s="16" t="inlineStr">
        <is>
          <t>Volatility per year</t>
        </is>
      </c>
      <c r="B115" s="26" t="n">
        <v>70</v>
      </c>
    </row>
    <row r="116">
      <c r="A116" s="16" t="inlineStr">
        <is>
          <t>Z score</t>
        </is>
      </c>
      <c r="B116" s="17" t="n">
        <v>1.65</v>
      </c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mergeCells count="23">
    <mergeCell ref="A73:E73"/>
    <mergeCell ref="A1:E1"/>
    <mergeCell ref="A36:E36"/>
    <mergeCell ref="A61:E61"/>
    <mergeCell ref="A6:E6"/>
    <mergeCell ref="A79:E79"/>
    <mergeCell ref="A41:E41"/>
    <mergeCell ref="A108:E108"/>
    <mergeCell ref="A89:E89"/>
    <mergeCell ref="A56:E56"/>
    <mergeCell ref="A3:E3"/>
    <mergeCell ref="A95:E95"/>
    <mergeCell ref="A101:E101"/>
    <mergeCell ref="A2:E2"/>
    <mergeCell ref="A113:E113"/>
    <mergeCell ref="A47:E47"/>
    <mergeCell ref="A32:E32"/>
    <mergeCell ref="A22:E22"/>
    <mergeCell ref="A52:E52"/>
    <mergeCell ref="A28:E28"/>
    <mergeCell ref="A19:E19"/>
    <mergeCell ref="A13:E13"/>
    <mergeCell ref="A67:E67"/>
  </mergeCells>
  <pageMargins left="0.5" right="0.5" top="0.6" bottom="0.6" header="0.25" footer="0.25"/>
  <pageSetup orientation="landscape" paperSize="3" fitToHeight="0" fitToWidth="1"/>
  <headerFooter>
    <oddHeader>&amp;LOn-Chain Operator Program&amp;CCalculators</oddHeader>
    <oddFooter>&amp;LEducational only. Not financial, tax, or legal advice. Never type a seed phrase, private key, API key, or password.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28" customWidth="1" min="8" max="8"/>
    <col width="28" customWidth="1" min="9" max="9"/>
  </cols>
  <sheetData>
    <row r="1" ht="28" customHeight="1">
      <c r="A1" s="1" t="inlineStr">
        <is>
          <t>W1 · Records sheet</t>
        </is>
      </c>
    </row>
    <row r="2" ht="18" customHeight="1">
      <c r="A2" s="2" t="inlineStr">
        <is>
          <t>Lesson 0.3 · keep this</t>
        </is>
      </c>
    </row>
    <row r="3" ht="32" customHeight="1">
      <c r="A3" s="3" t="inlineStr">
        <is>
          <t>One line per action. This is the record you keep.  Educational only. Not financial, tax, or legal advice. Never type a seed phrase, private key, API key, or password.</t>
        </is>
      </c>
    </row>
    <row r="4" ht="22" customHeight="1">
      <c r="A4" s="4" t="inlineStr">
        <is>
          <t>Date</t>
        </is>
      </c>
      <c r="B4" s="4" t="inlineStr">
        <is>
          <t>Action</t>
        </is>
      </c>
      <c r="C4" s="4" t="inlineStr">
        <is>
          <t>Asset</t>
        </is>
      </c>
      <c r="D4" s="4" t="inlineStr">
        <is>
          <t>Amount</t>
        </is>
      </c>
      <c r="E4" s="4" t="inlineStr">
        <is>
          <t>Price (USD)</t>
        </is>
      </c>
      <c r="F4" s="4" t="inlineStr">
        <is>
          <t>Fee</t>
        </is>
      </c>
      <c r="G4" s="4" t="inlineStr">
        <is>
          <t>Network</t>
        </is>
      </c>
      <c r="H4" s="4" t="inlineStr">
        <is>
          <t>Tx link</t>
        </is>
      </c>
      <c r="I4" s="4" t="inlineStr">
        <is>
          <t>Notes</t>
        </is>
      </c>
    </row>
    <row r="5" ht="18" customHeight="1">
      <c r="A5" s="34" t="n"/>
      <c r="B5" s="35" t="n"/>
      <c r="C5" s="35" t="n"/>
      <c r="D5" s="36" t="n"/>
      <c r="E5" s="37" t="n"/>
      <c r="F5" s="37" t="n"/>
      <c r="G5" s="35" t="n"/>
      <c r="H5" s="35" t="n"/>
      <c r="I5" s="35" t="n"/>
    </row>
    <row r="6" ht="18" customHeight="1">
      <c r="A6" s="34" t="n"/>
      <c r="B6" s="35" t="n"/>
      <c r="C6" s="35" t="n"/>
      <c r="D6" s="36" t="n"/>
      <c r="E6" s="37" t="n"/>
      <c r="F6" s="37" t="n"/>
      <c r="G6" s="35" t="n"/>
      <c r="H6" s="35" t="n"/>
      <c r="I6" s="35" t="n"/>
    </row>
    <row r="7" ht="18" customHeight="1">
      <c r="A7" s="34" t="n"/>
      <c r="B7" s="35" t="n"/>
      <c r="C7" s="35" t="n"/>
      <c r="D7" s="36" t="n"/>
      <c r="E7" s="37" t="n"/>
      <c r="F7" s="37" t="n"/>
      <c r="G7" s="35" t="n"/>
      <c r="H7" s="35" t="n"/>
      <c r="I7" s="35" t="n"/>
    </row>
    <row r="8" ht="18" customHeight="1">
      <c r="A8" s="34" t="n"/>
      <c r="B8" s="35" t="n"/>
      <c r="C8" s="35" t="n"/>
      <c r="D8" s="36" t="n"/>
      <c r="E8" s="37" t="n"/>
      <c r="F8" s="37" t="n"/>
      <c r="G8" s="35" t="n"/>
      <c r="H8" s="35" t="n"/>
      <c r="I8" s="35" t="n"/>
    </row>
    <row r="9" ht="18" customHeight="1">
      <c r="A9" s="34" t="n"/>
      <c r="B9" s="35" t="n"/>
      <c r="C9" s="35" t="n"/>
      <c r="D9" s="36" t="n"/>
      <c r="E9" s="37" t="n"/>
      <c r="F9" s="37" t="n"/>
      <c r="G9" s="35" t="n"/>
      <c r="H9" s="35" t="n"/>
      <c r="I9" s="35" t="n"/>
    </row>
    <row r="10" ht="18" customHeight="1">
      <c r="A10" s="34" t="n"/>
      <c r="B10" s="35" t="n"/>
      <c r="C10" s="35" t="n"/>
      <c r="D10" s="36" t="n"/>
      <c r="E10" s="37" t="n"/>
      <c r="F10" s="37" t="n"/>
      <c r="G10" s="35" t="n"/>
      <c r="H10" s="35" t="n"/>
      <c r="I10" s="35" t="n"/>
    </row>
    <row r="11" ht="18" customHeight="1">
      <c r="A11" s="34" t="n"/>
      <c r="B11" s="35" t="n"/>
      <c r="C11" s="35" t="n"/>
      <c r="D11" s="36" t="n"/>
      <c r="E11" s="37" t="n"/>
      <c r="F11" s="37" t="n"/>
      <c r="G11" s="35" t="n"/>
      <c r="H11" s="35" t="n"/>
      <c r="I11" s="35" t="n"/>
    </row>
    <row r="12" ht="18" customHeight="1">
      <c r="A12" s="34" t="n"/>
      <c r="B12" s="35" t="n"/>
      <c r="C12" s="35" t="n"/>
      <c r="D12" s="36" t="n"/>
      <c r="E12" s="37" t="n"/>
      <c r="F12" s="37" t="n"/>
      <c r="G12" s="35" t="n"/>
      <c r="H12" s="35" t="n"/>
      <c r="I12" s="35" t="n"/>
    </row>
    <row r="13" ht="18" customHeight="1">
      <c r="A13" s="34" t="n"/>
      <c r="B13" s="35" t="n"/>
      <c r="C13" s="35" t="n"/>
      <c r="D13" s="36" t="n"/>
      <c r="E13" s="37" t="n"/>
      <c r="F13" s="37" t="n"/>
      <c r="G13" s="35" t="n"/>
      <c r="H13" s="35" t="n"/>
      <c r="I13" s="35" t="n"/>
    </row>
    <row r="14" ht="18" customHeight="1">
      <c r="A14" s="34" t="n"/>
      <c r="B14" s="35" t="n"/>
      <c r="C14" s="35" t="n"/>
      <c r="D14" s="36" t="n"/>
      <c r="E14" s="37" t="n"/>
      <c r="F14" s="37" t="n"/>
      <c r="G14" s="35" t="n"/>
      <c r="H14" s="35" t="n"/>
      <c r="I14" s="35" t="n"/>
    </row>
    <row r="15" ht="18" customHeight="1">
      <c r="A15" s="34" t="n"/>
      <c r="B15" s="35" t="n"/>
      <c r="C15" s="35" t="n"/>
      <c r="D15" s="36" t="n"/>
      <c r="E15" s="37" t="n"/>
      <c r="F15" s="37" t="n"/>
      <c r="G15" s="35" t="n"/>
      <c r="H15" s="35" t="n"/>
      <c r="I15" s="35" t="n"/>
    </row>
    <row r="16" ht="18" customHeight="1">
      <c r="A16" s="34" t="n"/>
      <c r="B16" s="35" t="n"/>
      <c r="C16" s="35" t="n"/>
      <c r="D16" s="36" t="n"/>
      <c r="E16" s="37" t="n"/>
      <c r="F16" s="37" t="n"/>
      <c r="G16" s="35" t="n"/>
      <c r="H16" s="35" t="n"/>
      <c r="I16" s="35" t="n"/>
    </row>
    <row r="17" ht="18" customHeight="1">
      <c r="A17" s="34" t="n"/>
      <c r="B17" s="35" t="n"/>
      <c r="C17" s="35" t="n"/>
      <c r="D17" s="36" t="n"/>
      <c r="E17" s="37" t="n"/>
      <c r="F17" s="37" t="n"/>
      <c r="G17" s="35" t="n"/>
      <c r="H17" s="35" t="n"/>
      <c r="I17" s="35" t="n"/>
    </row>
    <row r="18" ht="18" customHeight="1">
      <c r="A18" s="34" t="n"/>
      <c r="B18" s="35" t="n"/>
      <c r="C18" s="35" t="n"/>
      <c r="D18" s="36" t="n"/>
      <c r="E18" s="37" t="n"/>
      <c r="F18" s="37" t="n"/>
      <c r="G18" s="35" t="n"/>
      <c r="H18" s="35" t="n"/>
      <c r="I18" s="35" t="n"/>
    </row>
    <row r="19" ht="18" customHeight="1">
      <c r="A19" s="34" t="n"/>
      <c r="B19" s="35" t="n"/>
      <c r="C19" s="35" t="n"/>
      <c r="D19" s="36" t="n"/>
      <c r="E19" s="37" t="n"/>
      <c r="F19" s="37" t="n"/>
      <c r="G19" s="35" t="n"/>
      <c r="H19" s="35" t="n"/>
      <c r="I19" s="35" t="n"/>
    </row>
    <row r="20" ht="18" customHeight="1">
      <c r="A20" s="34" t="n"/>
      <c r="B20" s="35" t="n"/>
      <c r="C20" s="35" t="n"/>
      <c r="D20" s="36" t="n"/>
      <c r="E20" s="37" t="n"/>
      <c r="F20" s="37" t="n"/>
      <c r="G20" s="35" t="n"/>
      <c r="H20" s="35" t="n"/>
      <c r="I20" s="35" t="n"/>
    </row>
    <row r="21" ht="18" customHeight="1">
      <c r="A21" s="34" t="n"/>
      <c r="B21" s="35" t="n"/>
      <c r="C21" s="35" t="n"/>
      <c r="D21" s="36" t="n"/>
      <c r="E21" s="37" t="n"/>
      <c r="F21" s="37" t="n"/>
      <c r="G21" s="35" t="n"/>
      <c r="H21" s="35" t="n"/>
      <c r="I21" s="35" t="n"/>
    </row>
    <row r="22" ht="18" customHeight="1">
      <c r="A22" s="34" t="n"/>
      <c r="B22" s="35" t="n"/>
      <c r="C22" s="35" t="n"/>
      <c r="D22" s="36" t="n"/>
      <c r="E22" s="37" t="n"/>
      <c r="F22" s="37" t="n"/>
      <c r="G22" s="35" t="n"/>
      <c r="H22" s="35" t="n"/>
      <c r="I22" s="35" t="n"/>
    </row>
    <row r="23" ht="18" customHeight="1">
      <c r="A23" s="34" t="n"/>
      <c r="B23" s="35" t="n"/>
      <c r="C23" s="35" t="n"/>
      <c r="D23" s="36" t="n"/>
      <c r="E23" s="37" t="n"/>
      <c r="F23" s="37" t="n"/>
      <c r="G23" s="35" t="n"/>
      <c r="H23" s="35" t="n"/>
      <c r="I23" s="35" t="n"/>
    </row>
    <row r="24" ht="18" customHeight="1">
      <c r="A24" s="34" t="n"/>
      <c r="B24" s="35" t="n"/>
      <c r="C24" s="35" t="n"/>
      <c r="D24" s="36" t="n"/>
      <c r="E24" s="37" t="n"/>
      <c r="F24" s="37" t="n"/>
      <c r="G24" s="35" t="n"/>
      <c r="H24" s="35" t="n"/>
      <c r="I24" s="35" t="n"/>
    </row>
    <row r="25" ht="18" customHeight="1">
      <c r="A25" s="34" t="n"/>
      <c r="B25" s="35" t="n"/>
      <c r="C25" s="35" t="n"/>
      <c r="D25" s="36" t="n"/>
      <c r="E25" s="37" t="n"/>
      <c r="F25" s="37" t="n"/>
      <c r="G25" s="35" t="n"/>
      <c r="H25" s="35" t="n"/>
      <c r="I25" s="35" t="n"/>
    </row>
    <row r="26" ht="18" customHeight="1">
      <c r="A26" s="34" t="n"/>
      <c r="B26" s="35" t="n"/>
      <c r="C26" s="35" t="n"/>
      <c r="D26" s="36" t="n"/>
      <c r="E26" s="37" t="n"/>
      <c r="F26" s="37" t="n"/>
      <c r="G26" s="35" t="n"/>
      <c r="H26" s="35" t="n"/>
      <c r="I26" s="35" t="n"/>
    </row>
    <row r="27" ht="18" customHeight="1">
      <c r="A27" s="34" t="n"/>
      <c r="B27" s="35" t="n"/>
      <c r="C27" s="35" t="n"/>
      <c r="D27" s="36" t="n"/>
      <c r="E27" s="37" t="n"/>
      <c r="F27" s="37" t="n"/>
      <c r="G27" s="35" t="n"/>
      <c r="H27" s="35" t="n"/>
      <c r="I27" s="35" t="n"/>
    </row>
    <row r="28" ht="18" customHeight="1">
      <c r="A28" s="34" t="n"/>
      <c r="B28" s="35" t="n"/>
      <c r="C28" s="35" t="n"/>
      <c r="D28" s="36" t="n"/>
      <c r="E28" s="37" t="n"/>
      <c r="F28" s="37" t="n"/>
      <c r="G28" s="35" t="n"/>
      <c r="H28" s="35" t="n"/>
      <c r="I28" s="35" t="n"/>
    </row>
    <row r="29" ht="18" customHeight="1">
      <c r="A29" s="34" t="n"/>
      <c r="B29" s="35" t="n"/>
      <c r="C29" s="35" t="n"/>
      <c r="D29" s="36" t="n"/>
      <c r="E29" s="37" t="n"/>
      <c r="F29" s="37" t="n"/>
      <c r="G29" s="35" t="n"/>
      <c r="H29" s="35" t="n"/>
      <c r="I29" s="35" t="n"/>
    </row>
    <row r="30" ht="18" customHeight="1">
      <c r="A30" s="34" t="n"/>
      <c r="B30" s="35" t="n"/>
      <c r="C30" s="35" t="n"/>
      <c r="D30" s="36" t="n"/>
      <c r="E30" s="37" t="n"/>
      <c r="F30" s="37" t="n"/>
      <c r="G30" s="35" t="n"/>
      <c r="H30" s="35" t="n"/>
      <c r="I30" s="35" t="n"/>
    </row>
    <row r="31" ht="18" customHeight="1">
      <c r="A31" s="34" t="n"/>
      <c r="B31" s="35" t="n"/>
      <c r="C31" s="35" t="n"/>
      <c r="D31" s="36" t="n"/>
      <c r="E31" s="37" t="n"/>
      <c r="F31" s="37" t="n"/>
      <c r="G31" s="35" t="n"/>
      <c r="H31" s="35" t="n"/>
      <c r="I31" s="35" t="n"/>
    </row>
    <row r="32" ht="18" customHeight="1">
      <c r="A32" s="34" t="n"/>
      <c r="B32" s="35" t="n"/>
      <c r="C32" s="35" t="n"/>
      <c r="D32" s="36" t="n"/>
      <c r="E32" s="37" t="n"/>
      <c r="F32" s="37" t="n"/>
      <c r="G32" s="35" t="n"/>
      <c r="H32" s="35" t="n"/>
      <c r="I32" s="35" t="n"/>
    </row>
    <row r="33" ht="18" customHeight="1">
      <c r="A33" s="34" t="n"/>
      <c r="B33" s="35" t="n"/>
      <c r="C33" s="35" t="n"/>
      <c r="D33" s="36" t="n"/>
      <c r="E33" s="37" t="n"/>
      <c r="F33" s="37" t="n"/>
      <c r="G33" s="35" t="n"/>
      <c r="H33" s="35" t="n"/>
      <c r="I33" s="35" t="n"/>
    </row>
    <row r="34" ht="18" customHeight="1">
      <c r="A34" s="34" t="n"/>
      <c r="B34" s="35" t="n"/>
      <c r="C34" s="35" t="n"/>
      <c r="D34" s="36" t="n"/>
      <c r="E34" s="37" t="n"/>
      <c r="F34" s="37" t="n"/>
      <c r="G34" s="35" t="n"/>
      <c r="H34" s="35" t="n"/>
      <c r="I34" s="35" t="n"/>
    </row>
    <row r="35" ht="18" customHeight="1">
      <c r="A35" s="34" t="n"/>
      <c r="B35" s="35" t="n"/>
      <c r="C35" s="35" t="n"/>
      <c r="D35" s="36" t="n"/>
      <c r="E35" s="37" t="n"/>
      <c r="F35" s="37" t="n"/>
      <c r="G35" s="35" t="n"/>
      <c r="H35" s="35" t="n"/>
      <c r="I35" s="35" t="n"/>
    </row>
    <row r="36" ht="18" customHeight="1">
      <c r="A36" s="34" t="n"/>
      <c r="B36" s="35" t="n"/>
      <c r="C36" s="35" t="n"/>
      <c r="D36" s="36" t="n"/>
      <c r="E36" s="37" t="n"/>
      <c r="F36" s="37" t="n"/>
      <c r="G36" s="35" t="n"/>
      <c r="H36" s="35" t="n"/>
      <c r="I36" s="35" t="n"/>
    </row>
    <row r="37" ht="18" customHeight="1">
      <c r="A37" s="34" t="n"/>
      <c r="B37" s="35" t="n"/>
      <c r="C37" s="35" t="n"/>
      <c r="D37" s="36" t="n"/>
      <c r="E37" s="37" t="n"/>
      <c r="F37" s="37" t="n"/>
      <c r="G37" s="35" t="n"/>
      <c r="H37" s="35" t="n"/>
      <c r="I37" s="35" t="n"/>
    </row>
    <row r="38" ht="18" customHeight="1">
      <c r="A38" s="34" t="n"/>
      <c r="B38" s="35" t="n"/>
      <c r="C38" s="35" t="n"/>
      <c r="D38" s="36" t="n"/>
      <c r="E38" s="37" t="n"/>
      <c r="F38" s="37" t="n"/>
      <c r="G38" s="35" t="n"/>
      <c r="H38" s="35" t="n"/>
      <c r="I38" s="35" t="n"/>
    </row>
    <row r="39" ht="18" customHeight="1">
      <c r="A39" s="34" t="n"/>
      <c r="B39" s="35" t="n"/>
      <c r="C39" s="35" t="n"/>
      <c r="D39" s="36" t="n"/>
      <c r="E39" s="37" t="n"/>
      <c r="F39" s="37" t="n"/>
      <c r="G39" s="35" t="n"/>
      <c r="H39" s="35" t="n"/>
      <c r="I39" s="35" t="n"/>
    </row>
    <row r="40" ht="18" customHeight="1">
      <c r="A40" s="34" t="n"/>
      <c r="B40" s="35" t="n"/>
      <c r="C40" s="35" t="n"/>
      <c r="D40" s="36" t="n"/>
      <c r="E40" s="37" t="n"/>
      <c r="F40" s="37" t="n"/>
      <c r="G40" s="35" t="n"/>
      <c r="H40" s="35" t="n"/>
      <c r="I40" s="35" t="n"/>
    </row>
    <row r="41" ht="18" customHeight="1">
      <c r="A41" s="34" t="n"/>
      <c r="B41" s="35" t="n"/>
      <c r="C41" s="35" t="n"/>
      <c r="D41" s="36" t="n"/>
      <c r="E41" s="37" t="n"/>
      <c r="F41" s="37" t="n"/>
      <c r="G41" s="35" t="n"/>
      <c r="H41" s="35" t="n"/>
      <c r="I41" s="35" t="n"/>
    </row>
    <row r="42" ht="18" customHeight="1">
      <c r="A42" s="34" t="n"/>
      <c r="B42" s="35" t="n"/>
      <c r="C42" s="35" t="n"/>
      <c r="D42" s="36" t="n"/>
      <c r="E42" s="37" t="n"/>
      <c r="F42" s="37" t="n"/>
      <c r="G42" s="35" t="n"/>
      <c r="H42" s="35" t="n"/>
      <c r="I42" s="35" t="n"/>
    </row>
    <row r="43" ht="18" customHeight="1">
      <c r="A43" s="34" t="n"/>
      <c r="B43" s="35" t="n"/>
      <c r="C43" s="35" t="n"/>
      <c r="D43" s="36" t="n"/>
      <c r="E43" s="37" t="n"/>
      <c r="F43" s="37" t="n"/>
      <c r="G43" s="35" t="n"/>
      <c r="H43" s="35" t="n"/>
      <c r="I43" s="35" t="n"/>
    </row>
    <row r="44" ht="18" customHeight="1">
      <c r="A44" s="34" t="n"/>
      <c r="B44" s="35" t="n"/>
      <c r="C44" s="35" t="n"/>
      <c r="D44" s="36" t="n"/>
      <c r="E44" s="37" t="n"/>
      <c r="F44" s="37" t="n"/>
      <c r="G44" s="35" t="n"/>
      <c r="H44" s="35" t="n"/>
      <c r="I44" s="35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I44"/>
  <mergeCells count="3">
    <mergeCell ref="A1:I1"/>
    <mergeCell ref="A3:I3"/>
    <mergeCell ref="A2:I2"/>
  </mergeCells>
  <dataValidations count="1">
    <dataValidation sqref="B5:B44" showDropDown="0" showInputMessage="0" showErrorMessage="0" allowBlank="1" errorTitle="Use the list" error="Choose a value from the list." type="list">
      <formula1>"buy,sell,transfer,swap,fee,income"</formula1>
    </dataValidation>
  </dataValidations>
  <pageMargins left="0.5" right="0.5" top="0.6" bottom="0.6" header="0.25" footer="0.25"/>
  <pageSetup orientation="landscape" paperSize="3" fitToHeight="0" fitToWidth="1"/>
  <headerFooter>
    <oddHeader>&amp;LOn-Chain Operator Program&amp;CW1 · Records sheet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4" customWidth="1" min="4" max="4"/>
    <col width="20" customWidth="1" min="5" max="5"/>
    <col width="20" customWidth="1" min="6" max="6"/>
    <col width="28" customWidth="1" min="7" max="7"/>
    <col width="28" customWidth="1" min="8" max="8"/>
    <col width="22" customWidth="1" min="9" max="9"/>
    <col width="22" customWidth="1" min="10" max="10"/>
  </cols>
  <sheetData>
    <row r="1" ht="28" customHeight="1">
      <c r="A1" s="1" t="inlineStr">
        <is>
          <t>W2 · Position journal</t>
        </is>
      </c>
    </row>
    <row r="2" ht="18" customHeight="1">
      <c r="A2" s="2" t="inlineStr">
        <is>
          <t>Lesson 8.4</t>
        </is>
      </c>
    </row>
    <row r="3" ht="32" customHeight="1">
      <c r="A3" s="3" t="inlineStr">
        <is>
          <t>One row per position. Kill rules are numbers you will act on.  Educational only. Not financial, tax, or legal advice. Never type a seed phrase, private key, API key, or password.</t>
        </is>
      </c>
    </row>
    <row r="4" ht="22" customHeight="1">
      <c r="A4" s="4" t="inlineStr">
        <is>
          <t>Position</t>
        </is>
      </c>
      <c r="B4" s="4" t="inlineStr">
        <is>
          <t>Protocol / chain</t>
        </is>
      </c>
      <c r="C4" s="4" t="inlineStr">
        <is>
          <t>Contracts</t>
        </is>
      </c>
      <c r="D4" s="4" t="inlineStr">
        <is>
          <t>Amount</t>
        </is>
      </c>
      <c r="E4" s="4" t="inlineStr">
        <is>
          <t>Entry date/price</t>
        </is>
      </c>
      <c r="F4" s="4" t="inlineStr">
        <is>
          <t>Profit engine</t>
        </is>
      </c>
      <c r="G4" s="4" t="inlineStr">
        <is>
          <t>Thesis</t>
        </is>
      </c>
      <c r="H4" s="4" t="inlineStr">
        <is>
          <t>Kill rules</t>
        </is>
      </c>
      <c r="I4" s="4" t="inlineStr">
        <is>
          <t>Approvals</t>
        </is>
      </c>
      <c r="J4" s="4" t="inlineStr">
        <is>
          <t>Weekly result</t>
        </is>
      </c>
    </row>
    <row r="5" ht="18" customHeight="1">
      <c r="A5" s="35" t="n"/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</row>
    <row r="6" ht="18" customHeight="1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</row>
    <row r="7" ht="18" customHeight="1">
      <c r="A7" s="35" t="n"/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</row>
    <row r="8" ht="18" customHeight="1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</row>
    <row r="9" ht="18" customHeight="1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</row>
    <row r="10" ht="18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</row>
    <row r="11" ht="18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</row>
    <row r="12" ht="18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</row>
    <row r="13" ht="18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</row>
    <row r="14" ht="18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</row>
    <row r="15" ht="18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</row>
    <row r="16" ht="18" customHeight="1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</row>
    <row r="17" ht="18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18" customHeight="1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 ht="18" customHeight="1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18" customHeight="1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</row>
    <row r="21" ht="18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  <row r="22" ht="18" customHeight="1">
      <c r="A22" s="35" t="n"/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</row>
    <row r="23" ht="18" customHeight="1">
      <c r="A23" s="35" t="n"/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</row>
    <row r="24" ht="18" customHeight="1">
      <c r="A24" s="35" t="n"/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J24"/>
  <mergeCells count="3">
    <mergeCell ref="A1:J1"/>
    <mergeCell ref="A3:J3"/>
    <mergeCell ref="A2:J2"/>
  </mergeCells>
  <pageMargins left="0.5" right="0.5" top="0.6" bottom="0.6" header="0.25" footer="0.25"/>
  <pageSetup orientation="landscape" paperSize="3" fitToHeight="0" fitToWidth="1"/>
  <headerFooter>
    <oddHeader>&amp;LOn-Chain Operator Program&amp;CW2 · Position journal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B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78" customWidth="1" min="2" max="2"/>
  </cols>
  <sheetData>
    <row r="1" ht="28" customHeight="1">
      <c r="A1" s="1" t="inlineStr">
        <is>
          <t>W3 · Due-diligence file</t>
        </is>
      </c>
    </row>
    <row r="2" ht="18" customHeight="1">
      <c r="A2" s="2" t="inlineStr">
        <is>
          <t>Module 6</t>
        </is>
      </c>
    </row>
    <row r="3" ht="32" customHeight="1">
      <c r="A3" s="3" t="inlineStr">
        <is>
          <t>One protocol per copy of this sheet. Educational only. Not financial, tax, or legal advice. Never type a seed phrase, private key, API key, or password.</t>
        </is>
      </c>
    </row>
    <row r="5" ht="22" customHeight="1">
      <c r="A5" s="18" t="inlineStr">
        <is>
          <t>Protocol</t>
        </is>
      </c>
      <c r="B5" s="38" t="n"/>
    </row>
    <row r="6" ht="22" customHeight="1">
      <c r="A6" s="18" t="inlineStr">
        <is>
          <t>Chain</t>
        </is>
      </c>
      <c r="B6" s="38" t="n"/>
    </row>
    <row r="7" ht="22" customHeight="1">
      <c r="A7" s="18" t="inlineStr">
        <is>
          <t>TVL</t>
        </is>
      </c>
      <c r="B7" s="38" t="n"/>
    </row>
    <row r="8" ht="22" customHeight="1">
      <c r="A8" s="18" t="inlineStr">
        <is>
          <t>TVL source and date</t>
        </is>
      </c>
      <c r="B8" s="38" t="n"/>
    </row>
    <row r="9" ht="22" customHeight="1">
      <c r="A9" s="18" t="inlineStr">
        <is>
          <t>Risk rating (low, medium, high)</t>
        </is>
      </c>
      <c r="B9" s="38" t="n"/>
    </row>
    <row r="10" ht="22" customHeight="1">
      <c r="A10" s="18" t="inlineStr">
        <is>
          <t>Verdict (use, watch, pass)</t>
        </is>
      </c>
      <c r="B10" s="38" t="n"/>
    </row>
    <row r="12" ht="22" customHeight="1">
      <c r="A12" s="18" t="inlineStr">
        <is>
          <t>1 Mechanism</t>
        </is>
      </c>
      <c r="B12" s="38" t="n"/>
    </row>
    <row r="13" ht="22" customHeight="1">
      <c r="A13" s="18" t="inlineStr">
        <is>
          <t>2 Cash flow (organic vs subsidised)</t>
        </is>
      </c>
      <c r="B13" s="38" t="n"/>
    </row>
    <row r="14" ht="22" customHeight="1">
      <c r="A14" s="18" t="inlineStr">
        <is>
          <t>3 Dependencies</t>
        </is>
      </c>
      <c r="B14" s="38" t="n"/>
    </row>
    <row r="15" ht="22" customHeight="1">
      <c r="A15" s="18" t="inlineStr">
        <is>
          <t>4 Solvency</t>
        </is>
      </c>
      <c r="B15" s="38" t="n"/>
    </row>
    <row r="16" ht="22" customHeight="1">
      <c r="A16" s="18" t="inlineStr">
        <is>
          <t>5 Evidence (links)</t>
        </is>
      </c>
      <c r="B16" s="38" t="n"/>
    </row>
    <row r="17" ht="22" customHeight="1">
      <c r="A17" s="18" t="inlineStr">
        <is>
          <t>6 Exit</t>
        </is>
      </c>
      <c r="B17" s="38" t="n"/>
    </row>
    <row r="19" ht="22" customHeight="1">
      <c r="A19" s="18" t="inlineStr">
        <is>
          <t>Market cap</t>
        </is>
      </c>
      <c r="B19" s="38" t="n"/>
    </row>
    <row r="20" ht="22" customHeight="1">
      <c r="A20" s="18" t="inlineStr">
        <is>
          <t>Fully diluted value</t>
        </is>
      </c>
      <c r="B20" s="38" t="n"/>
    </row>
    <row r="21" ht="22" customHeight="1">
      <c r="A21" s="18" t="inlineStr">
        <is>
          <t>Unlocks in the next 12 months</t>
        </is>
      </c>
      <c r="B21" s="38" t="n"/>
    </row>
    <row r="22" ht="22" customHeight="1">
      <c r="A22" s="18" t="inlineStr">
        <is>
          <t>Value capture</t>
        </is>
      </c>
      <c r="B22" s="38" t="n"/>
    </row>
    <row r="24" ht="22" customHeight="1">
      <c r="A24" s="18" t="inlineStr">
        <is>
          <t>Voting concentration</t>
        </is>
      </c>
      <c r="B24" s="38" t="n"/>
    </row>
    <row r="25" ht="22" customHeight="1">
      <c r="A25" s="18" t="inlineStr">
        <is>
          <t>Timelock</t>
        </is>
      </c>
      <c r="B25" s="38" t="n"/>
    </row>
    <row r="27" ht="22" customHeight="1">
      <c r="A27" s="18" t="inlineStr">
        <is>
          <t>Holders</t>
        </is>
      </c>
      <c r="B27" s="38" t="n"/>
    </row>
    <row r="28" ht="22" customHeight="1">
      <c r="A28" s="18" t="inlineStr">
        <is>
          <t>Flows</t>
        </is>
      </c>
      <c r="B28" s="38" t="n"/>
    </row>
    <row r="29" ht="22" customHeight="1">
      <c r="A29" s="18" t="inlineStr">
        <is>
          <t>Activity</t>
        </is>
      </c>
      <c r="B29" s="38" t="n"/>
    </row>
    <row r="30" ht="22" customHeight="1">
      <c r="A30" s="18" t="inlineStr">
        <is>
          <t>Depth</t>
        </is>
      </c>
      <c r="B30" s="38" t="n"/>
    </row>
    <row r="31" ht="22" customHeight="1">
      <c r="A31" s="18" t="inlineStr">
        <is>
          <t>Derivatives</t>
        </is>
      </c>
      <c r="B31" s="38" t="n"/>
    </row>
    <row r="33" ht="22" customHeight="1">
      <c r="A33" s="18" t="inlineStr">
        <is>
          <t>Monitoring triggers</t>
        </is>
      </c>
      <c r="B33" s="38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mergeCells count="3">
    <mergeCell ref="A3:B3"/>
    <mergeCell ref="A2:B2"/>
    <mergeCell ref="A1:B1"/>
  </mergeCells>
  <dataValidations count="2">
    <dataValidation sqref="B9" showDropDown="0" showInputMessage="0" showErrorMessage="0" allowBlank="1" type="list">
      <formula1>"low,medium,high"</formula1>
    </dataValidation>
    <dataValidation sqref="B10" showDropDown="0" showInputMessage="0" showErrorMessage="0" allowBlank="1" type="list">
      <formula1>"use,watch,pass"</formula1>
    </dataValidation>
  </dataValidations>
  <pageMargins left="0.5" right="0.5" top="0.6" bottom="0.6" header="0.25" footer="0.25"/>
  <pageSetup orientation="landscape" paperSize="3" fitToHeight="0" fitToWidth="1"/>
  <headerFooter>
    <oddHeader>&amp;LOn-Chain Operator Program&amp;CW3 · Due-diligence file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8" customWidth="1" min="4" max="4"/>
    <col width="16" customWidth="1" min="5" max="5"/>
    <col width="12" customWidth="1" min="6" max="6"/>
    <col width="36" customWidth="1" min="7" max="7"/>
  </cols>
  <sheetData>
    <row r="1" ht="28" customHeight="1">
      <c r="A1" s="1" t="inlineStr">
        <is>
          <t>W4 · Risk register</t>
        </is>
      </c>
    </row>
    <row r="2" ht="18" customHeight="1">
      <c r="A2" s="2" t="inlineStr">
        <is>
          <t>Lesson 8.2</t>
        </is>
      </c>
    </row>
    <row r="3" ht="32" customHeight="1">
      <c r="A3" s="3" t="inlineStr">
        <is>
          <t>Score is likelihood times impact. 15 or higher needs a mitigation or an exit. 20 or higher: do not hold it.  Educational only. Not financial, tax, or legal advice. Never type a seed phrase, private key, API key, or password.</t>
        </is>
      </c>
    </row>
    <row r="4" ht="22" customHeight="1">
      <c r="A4" s="4" t="inlineStr">
        <is>
          <t>Position</t>
        </is>
      </c>
      <c r="B4" s="4" t="inlineStr">
        <is>
          <t>Risk surface</t>
        </is>
      </c>
      <c r="C4" s="4" t="inlineStr">
        <is>
          <t>Description</t>
        </is>
      </c>
      <c r="D4" s="4" t="inlineStr">
        <is>
          <t>Likelihood 1–5</t>
        </is>
      </c>
      <c r="E4" s="4" t="inlineStr">
        <is>
          <t>Impact 1–5</t>
        </is>
      </c>
      <c r="F4" s="4" t="inlineStr">
        <is>
          <t>Score</t>
        </is>
      </c>
      <c r="G4" s="4" t="inlineStr">
        <is>
          <t>Response</t>
        </is>
      </c>
    </row>
    <row r="5" ht="18" customHeight="1">
      <c r="A5" s="35" t="inlineStr">
        <is>
          <t>Example: looped ETH</t>
        </is>
      </c>
      <c r="B5" s="35" t="inlineStr">
        <is>
          <t>economic</t>
        </is>
      </c>
      <c r="C5" s="35" t="inlineStr">
        <is>
          <t>Borrow rate rises above the collateral yield. Replace this row.</t>
        </is>
      </c>
      <c r="D5" s="35" t="n">
        <v>4</v>
      </c>
      <c r="E5" s="35" t="n">
        <v>5</v>
      </c>
      <c r="F5" s="39">
        <f>IF(OR(D5="",E5=""),"",D5*E5)</f>
        <v/>
      </c>
      <c r="G5" s="35" t="inlineStr">
        <is>
          <t>Do not hold it until the response is real.</t>
        </is>
      </c>
    </row>
    <row r="6" ht="18" customHeight="1">
      <c r="A6" s="35" t="inlineStr">
        <is>
          <t>Example: stablecoin pool</t>
        </is>
      </c>
      <c r="B6" s="35" t="inlineStr">
        <is>
          <t>smart-contract</t>
        </is>
      </c>
      <c r="C6" s="35" t="inlineStr">
        <is>
          <t>A bug drains the pool. Replace this row.</t>
        </is>
      </c>
      <c r="D6" s="35" t="n">
        <v>3</v>
      </c>
      <c r="E6" s="35" t="n">
        <v>5</v>
      </c>
      <c r="F6" s="39">
        <f>IF(OR(D6="",E6=""),"",D6*E6)</f>
        <v/>
      </c>
      <c r="G6" s="35" t="inlineStr">
        <is>
          <t>Write the mitigation before you size it.</t>
        </is>
      </c>
    </row>
    <row r="7" ht="18" customHeight="1">
      <c r="A7" s="35" t="n"/>
      <c r="B7" s="35" t="n"/>
      <c r="C7" s="35" t="n"/>
      <c r="D7" s="35" t="n"/>
      <c r="E7" s="35" t="n"/>
      <c r="F7" s="39">
        <f>IF(OR(D7="",E7=""),"",D7*E7)</f>
        <v/>
      </c>
      <c r="G7" s="35" t="n"/>
    </row>
    <row r="8" ht="18" customHeight="1">
      <c r="A8" s="35" t="n"/>
      <c r="B8" s="35" t="n"/>
      <c r="C8" s="35" t="n"/>
      <c r="D8" s="35" t="n"/>
      <c r="E8" s="35" t="n"/>
      <c r="F8" s="39">
        <f>IF(OR(D8="",E8=""),"",D8*E8)</f>
        <v/>
      </c>
      <c r="G8" s="35" t="n"/>
    </row>
    <row r="9" ht="18" customHeight="1">
      <c r="A9" s="35" t="n"/>
      <c r="B9" s="35" t="n"/>
      <c r="C9" s="35" t="n"/>
      <c r="D9" s="35" t="n"/>
      <c r="E9" s="35" t="n"/>
      <c r="F9" s="39">
        <f>IF(OR(D9="",E9=""),"",D9*E9)</f>
        <v/>
      </c>
      <c r="G9" s="35" t="n"/>
    </row>
    <row r="10" ht="18" customHeight="1">
      <c r="A10" s="35" t="n"/>
      <c r="B10" s="35" t="n"/>
      <c r="C10" s="35" t="n"/>
      <c r="D10" s="35" t="n"/>
      <c r="E10" s="35" t="n"/>
      <c r="F10" s="39">
        <f>IF(OR(D10="",E10=""),"",D10*E10)</f>
        <v/>
      </c>
      <c r="G10" s="35" t="n"/>
    </row>
    <row r="11" ht="18" customHeight="1">
      <c r="A11" s="35" t="n"/>
      <c r="B11" s="35" t="n"/>
      <c r="C11" s="35" t="n"/>
      <c r="D11" s="35" t="n"/>
      <c r="E11" s="35" t="n"/>
      <c r="F11" s="39">
        <f>IF(OR(D11="",E11=""),"",D11*E11)</f>
        <v/>
      </c>
      <c r="G11" s="35" t="n"/>
    </row>
    <row r="12" ht="18" customHeight="1">
      <c r="A12" s="35" t="n"/>
      <c r="B12" s="35" t="n"/>
      <c r="C12" s="35" t="n"/>
      <c r="D12" s="35" t="n"/>
      <c r="E12" s="35" t="n"/>
      <c r="F12" s="39">
        <f>IF(OR(D12="",E12=""),"",D12*E12)</f>
        <v/>
      </c>
      <c r="G12" s="35" t="n"/>
    </row>
    <row r="13" ht="18" customHeight="1">
      <c r="A13" s="35" t="n"/>
      <c r="B13" s="35" t="n"/>
      <c r="C13" s="35" t="n"/>
      <c r="D13" s="35" t="n"/>
      <c r="E13" s="35" t="n"/>
      <c r="F13" s="39">
        <f>IF(OR(D13="",E13=""),"",D13*E13)</f>
        <v/>
      </c>
      <c r="G13" s="35" t="n"/>
    </row>
    <row r="14" ht="18" customHeight="1">
      <c r="A14" s="35" t="n"/>
      <c r="B14" s="35" t="n"/>
      <c r="C14" s="35" t="n"/>
      <c r="D14" s="35" t="n"/>
      <c r="E14" s="35" t="n"/>
      <c r="F14" s="39">
        <f>IF(OR(D14="",E14=""),"",D14*E14)</f>
        <v/>
      </c>
      <c r="G14" s="35" t="n"/>
    </row>
    <row r="15" ht="18" customHeight="1">
      <c r="A15" s="35" t="n"/>
      <c r="B15" s="35" t="n"/>
      <c r="C15" s="35" t="n"/>
      <c r="D15" s="35" t="n"/>
      <c r="E15" s="35" t="n"/>
      <c r="F15" s="39">
        <f>IF(OR(D15="",E15=""),"",D15*E15)</f>
        <v/>
      </c>
      <c r="G15" s="35" t="n"/>
    </row>
    <row r="16" ht="18" customHeight="1">
      <c r="A16" s="35" t="n"/>
      <c r="B16" s="35" t="n"/>
      <c r="C16" s="35" t="n"/>
      <c r="D16" s="35" t="n"/>
      <c r="E16" s="35" t="n"/>
      <c r="F16" s="39">
        <f>IF(OR(D16="",E16=""),"",D16*E16)</f>
        <v/>
      </c>
      <c r="G16" s="35" t="n"/>
    </row>
    <row r="17" ht="18" customHeight="1">
      <c r="A17" s="35" t="n"/>
      <c r="B17" s="35" t="n"/>
      <c r="C17" s="35" t="n"/>
      <c r="D17" s="35" t="n"/>
      <c r="E17" s="35" t="n"/>
      <c r="F17" s="39">
        <f>IF(OR(D17="",E17=""),"",D17*E17)</f>
        <v/>
      </c>
      <c r="G17" s="35" t="n"/>
    </row>
    <row r="18" ht="18" customHeight="1">
      <c r="A18" s="35" t="n"/>
      <c r="B18" s="35" t="n"/>
      <c r="C18" s="35" t="n"/>
      <c r="D18" s="35" t="n"/>
      <c r="E18" s="35" t="n"/>
      <c r="F18" s="39">
        <f>IF(OR(D18="",E18=""),"",D18*E18)</f>
        <v/>
      </c>
      <c r="G18" s="35" t="n"/>
    </row>
    <row r="19" ht="18" customHeight="1">
      <c r="A19" s="35" t="n"/>
      <c r="B19" s="35" t="n"/>
      <c r="C19" s="35" t="n"/>
      <c r="D19" s="35" t="n"/>
      <c r="E19" s="35" t="n"/>
      <c r="F19" s="39">
        <f>IF(OR(D19="",E19=""),"",D19*E19)</f>
        <v/>
      </c>
      <c r="G19" s="35" t="n"/>
    </row>
    <row r="20" ht="18" customHeight="1">
      <c r="A20" s="35" t="n"/>
      <c r="B20" s="35" t="n"/>
      <c r="C20" s="35" t="n"/>
      <c r="D20" s="35" t="n"/>
      <c r="E20" s="35" t="n"/>
      <c r="F20" s="39">
        <f>IF(OR(D20="",E20=""),"",D20*E20)</f>
        <v/>
      </c>
      <c r="G20" s="35" t="n"/>
    </row>
    <row r="21" ht="18" customHeight="1">
      <c r="A21" s="35" t="n"/>
      <c r="B21" s="35" t="n"/>
      <c r="C21" s="35" t="n"/>
      <c r="D21" s="35" t="n"/>
      <c r="E21" s="35" t="n"/>
      <c r="F21" s="39">
        <f>IF(OR(D21="",E21=""),"",D21*E21)</f>
        <v/>
      </c>
      <c r="G21" s="35" t="n"/>
    </row>
    <row r="22" ht="18" customHeight="1">
      <c r="A22" s="35" t="n"/>
      <c r="B22" s="35" t="n"/>
      <c r="C22" s="35" t="n"/>
      <c r="D22" s="35" t="n"/>
      <c r="E22" s="35" t="n"/>
      <c r="F22" s="39">
        <f>IF(OR(D22="",E22=""),"",D22*E22)</f>
        <v/>
      </c>
      <c r="G22" s="35" t="n"/>
    </row>
    <row r="23" ht="18" customHeight="1">
      <c r="A23" s="35" t="n"/>
      <c r="B23" s="35" t="n"/>
      <c r="C23" s="35" t="n"/>
      <c r="D23" s="35" t="n"/>
      <c r="E23" s="35" t="n"/>
      <c r="F23" s="39">
        <f>IF(OR(D23="",E23=""),"",D23*E23)</f>
        <v/>
      </c>
      <c r="G23" s="35" t="n"/>
    </row>
    <row r="24" ht="18" customHeight="1">
      <c r="A24" s="35" t="n"/>
      <c r="B24" s="35" t="n"/>
      <c r="C24" s="35" t="n"/>
      <c r="D24" s="35" t="n"/>
      <c r="E24" s="35" t="n"/>
      <c r="F24" s="39">
        <f>IF(OR(D24="",E24=""),"",D24*E24)</f>
        <v/>
      </c>
      <c r="G24" s="35" t="n"/>
    </row>
    <row r="25" ht="18" customHeight="1">
      <c r="A25" s="35" t="n"/>
      <c r="B25" s="35" t="n"/>
      <c r="C25" s="35" t="n"/>
      <c r="D25" s="35" t="n"/>
      <c r="E25" s="35" t="n"/>
      <c r="F25" s="39">
        <f>IF(OR(D25="",E25=""),"",D25*E25)</f>
        <v/>
      </c>
      <c r="G25" s="35" t="n"/>
    </row>
    <row r="26" ht="18" customHeight="1">
      <c r="A26" s="35" t="n"/>
      <c r="B26" s="35" t="n"/>
      <c r="C26" s="35" t="n"/>
      <c r="D26" s="35" t="n"/>
      <c r="E26" s="35" t="n"/>
      <c r="F26" s="39">
        <f>IF(OR(D26="",E26=""),"",D26*E26)</f>
        <v/>
      </c>
      <c r="G26" s="35" t="n"/>
    </row>
    <row r="27" ht="18" customHeight="1">
      <c r="A27" s="35" t="n"/>
      <c r="B27" s="35" t="n"/>
      <c r="C27" s="35" t="n"/>
      <c r="D27" s="35" t="n"/>
      <c r="E27" s="35" t="n"/>
      <c r="F27" s="39">
        <f>IF(OR(D27="",E27=""),"",D27*E27)</f>
        <v/>
      </c>
      <c r="G27" s="35" t="n"/>
    </row>
    <row r="28" ht="18" customHeight="1">
      <c r="A28" s="35" t="n"/>
      <c r="B28" s="35" t="n"/>
      <c r="C28" s="35" t="n"/>
      <c r="D28" s="35" t="n"/>
      <c r="E28" s="35" t="n"/>
      <c r="F28" s="39">
        <f>IF(OR(D28="",E28=""),"",D28*E28)</f>
        <v/>
      </c>
      <c r="G28" s="35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G28"/>
  <mergeCells count="3">
    <mergeCell ref="A3:G3"/>
    <mergeCell ref="A2:G2"/>
    <mergeCell ref="A1:G1"/>
  </mergeCells>
  <conditionalFormatting sqref="F5:F28">
    <cfRule type="cellIs" priority="1" operator="greaterThanOrEqual" dxfId="0">
      <formula>20</formula>
    </cfRule>
    <cfRule type="cellIs" priority="2" operator="between" dxfId="1">
      <formula>15</formula>
      <formula>19</formula>
    </cfRule>
  </conditionalFormatting>
  <dataValidations count="2">
    <dataValidation sqref="B5:B28" showDropDown="0" showInputMessage="0" showErrorMessage="0" allowBlank="1" errorTitle="Use the list" error="Choose a value from the list." type="list">
      <formula1>"smart-contract,economic,oracle,liquidity,governance,bridge/chain,counterparty,user-operation"</formula1>
    </dataValidation>
    <dataValidation sqref="D5:E28" showDropDown="0" showInputMessage="0" showErrorMessage="0" allowBlank="1" errorTitle="Score from 1 to 5" error="Enter a whole number from 1 to 5." type="whole" operator="between">
      <formula1>1</formula1>
      <formula2>5</formula2>
    </dataValidation>
  </dataValidations>
  <pageMargins left="0.5" right="0.5" top="0.6" bottom="0.6" header="0.25" footer="0.25"/>
  <pageSetup orientation="landscape" paperSize="3" fitToHeight="0" fitToWidth="1"/>
  <headerFooter>
    <oddHeader>&amp;LOn-Chain Operator Program&amp;CW4 · Risk register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 ht="28" customHeight="1">
      <c r="A1" s="1" t="inlineStr">
        <is>
          <t>W5 · Portfolio plan</t>
        </is>
      </c>
    </row>
    <row r="2" ht="18" customHeight="1">
      <c r="A2" s="2" t="inlineStr">
        <is>
          <t>Lesson 8.1</t>
        </is>
      </c>
    </row>
    <row r="3" ht="32" customHeight="1">
      <c r="A3" s="3" t="inlineStr">
        <is>
          <t>Targets should add to 100%. Caps are the most you will put in one protocol, chain, issuer, or bridge. Educational only. Not financial, tax, or legal advice. Never type a seed phrase, private key, API key, or password.</t>
        </is>
      </c>
    </row>
    <row r="4" ht="22" customHeight="1">
      <c r="A4" s="4" t="inlineStr">
        <is>
          <t>Bucket</t>
        </is>
      </c>
      <c r="B4" s="4" t="inlineStr">
        <is>
          <t>Target %</t>
        </is>
      </c>
      <c r="C4" s="4" t="inlineStr">
        <is>
          <t>Current %</t>
        </is>
      </c>
      <c r="D4" s="4" t="inlineStr">
        <is>
          <t>Holdings</t>
        </is>
      </c>
      <c r="E4" s="4" t="inlineStr">
        <is>
          <t>Caps (protocol / chain / issuer / bridge)</t>
        </is>
      </c>
    </row>
    <row r="5" ht="18" customHeight="1">
      <c r="A5" s="35" t="n"/>
      <c r="B5" s="40" t="n"/>
      <c r="C5" s="40" t="n"/>
      <c r="D5" s="35" t="n"/>
      <c r="E5" s="35" t="n"/>
    </row>
    <row r="6" ht="18" customHeight="1">
      <c r="A6" s="35" t="n"/>
      <c r="B6" s="40" t="n"/>
      <c r="C6" s="40" t="n"/>
      <c r="D6" s="35" t="n"/>
      <c r="E6" s="35" t="n"/>
    </row>
    <row r="7" ht="18" customHeight="1">
      <c r="A7" s="35" t="n"/>
      <c r="B7" s="40" t="n"/>
      <c r="C7" s="40" t="n"/>
      <c r="D7" s="35" t="n"/>
      <c r="E7" s="35" t="n"/>
    </row>
    <row r="8" ht="18" customHeight="1">
      <c r="A8" s="35" t="n"/>
      <c r="B8" s="40" t="n"/>
      <c r="C8" s="40" t="n"/>
      <c r="D8" s="35" t="n"/>
      <c r="E8" s="35" t="n"/>
    </row>
    <row r="9" ht="18" customHeight="1">
      <c r="A9" s="35" t="n"/>
      <c r="B9" s="40" t="n"/>
      <c r="C9" s="40" t="n"/>
      <c r="D9" s="35" t="n"/>
      <c r="E9" s="35" t="n"/>
    </row>
    <row r="10" ht="18" customHeight="1">
      <c r="A10" s="35" t="n"/>
      <c r="B10" s="40" t="n"/>
      <c r="C10" s="40" t="n"/>
      <c r="D10" s="35" t="n"/>
      <c r="E10" s="35" t="n"/>
    </row>
    <row r="11" ht="18" customHeight="1">
      <c r="A11" s="35" t="n"/>
      <c r="B11" s="40" t="n"/>
      <c r="C11" s="40" t="n"/>
      <c r="D11" s="35" t="n"/>
      <c r="E11" s="35" t="n"/>
    </row>
    <row r="12" ht="18" customHeight="1">
      <c r="A12" s="35" t="n"/>
      <c r="B12" s="40" t="n"/>
      <c r="C12" s="40" t="n"/>
      <c r="D12" s="35" t="n"/>
      <c r="E12" s="35" t="n"/>
    </row>
    <row r="13" ht="18" customHeight="1">
      <c r="A13" s="35" t="n"/>
      <c r="B13" s="40" t="n"/>
      <c r="C13" s="40" t="n"/>
      <c r="D13" s="35" t="n"/>
      <c r="E13" s="35" t="n"/>
    </row>
    <row r="14" ht="18" customHeight="1">
      <c r="A14" s="35" t="n"/>
      <c r="B14" s="40" t="n"/>
      <c r="C14" s="40" t="n"/>
      <c r="D14" s="35" t="n"/>
      <c r="E14" s="35" t="n"/>
    </row>
    <row r="15" ht="18" customHeight="1">
      <c r="A15" s="35" t="n"/>
      <c r="B15" s="40" t="n"/>
      <c r="C15" s="40" t="n"/>
      <c r="D15" s="35" t="n"/>
      <c r="E15" s="35" t="n"/>
    </row>
    <row r="16" ht="18" customHeight="1">
      <c r="A16" s="35" t="n"/>
      <c r="B16" s="40" t="n"/>
      <c r="C16" s="40" t="n"/>
      <c r="D16" s="35" t="n"/>
      <c r="E16" s="35" t="n"/>
    </row>
    <row r="18">
      <c r="A18" s="18" t="inlineStr">
        <is>
          <t>Target total</t>
        </is>
      </c>
      <c r="B18" s="41">
        <f>SUM(B5:B16)</f>
        <v/>
      </c>
    </row>
    <row r="19">
      <c r="A19" s="18" t="inlineStr">
        <is>
          <t>Current total</t>
        </is>
      </c>
      <c r="C19" s="41">
        <f>SUM(C5:C16)</f>
        <v/>
      </c>
    </row>
    <row r="20">
      <c r="A20" s="18" t="inlineStr">
        <is>
          <t>Target check</t>
        </is>
      </c>
      <c r="B20" s="30">
        <f>IF(COUNT(B5:B16)=0,"",IF(ABS(B18-100)&lt;0.1,"Adds to 100%","Does not add to 100%"))</f>
        <v/>
      </c>
    </row>
    <row r="22">
      <c r="A22" s="18" t="inlineStr">
        <is>
          <t>Rebalance rule</t>
        </is>
      </c>
      <c r="B22" s="38" t="n"/>
      <c r="C22" s="42" t="n"/>
      <c r="D22" s="42" t="n"/>
      <c r="E22" s="43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E16"/>
  <mergeCells count="4">
    <mergeCell ref="A2:E2"/>
    <mergeCell ref="A1:E1"/>
    <mergeCell ref="B22:E22"/>
    <mergeCell ref="A3:E3"/>
  </mergeCells>
  <pageMargins left="0.5" right="0.5" top="0.6" bottom="0.6" header="0.25" footer="0.25"/>
  <pageSetup orientation="landscape" paperSize="3" fitToHeight="0" fitToWidth="1"/>
  <headerFooter>
    <oddHeader>&amp;LOn-Chain Operator Program&amp;CW5 · Portfolio plan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B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W6 · Balance sheet</t>
        </is>
      </c>
    </row>
    <row r="2" ht="18" customHeight="1">
      <c r="A2" s="2" t="inlineStr">
        <is>
          <t>Lesson 12.1</t>
        </is>
      </c>
    </row>
    <row r="3" ht="48" customHeight="1">
      <c r="A3" s="3" t="inlineStr">
        <is>
          <t>The numbers already here are the lesson example: $300,000 collateral, $60,000 debt, $40,000 reserve. Replace them with yours. Educational only. Not financial, tax, or legal advice. Never type a seed phrase, private key, API key, or password.</t>
        </is>
      </c>
    </row>
    <row r="5">
      <c r="A5" s="18" t="inlineStr">
        <is>
          <t>Collateral</t>
        </is>
      </c>
      <c r="B5" s="20" t="n">
        <v>300000</v>
      </c>
    </row>
    <row r="6">
      <c r="A6" s="18" t="inlineStr">
        <is>
          <t>Yield positions</t>
        </is>
      </c>
      <c r="B6" s="20" t="n">
        <v>0</v>
      </c>
    </row>
    <row r="7">
      <c r="A7" s="18" t="inlineStr">
        <is>
          <t>Reserve (cash you can reach)</t>
        </is>
      </c>
      <c r="B7" s="20" t="n">
        <v>40000</v>
      </c>
    </row>
    <row r="8">
      <c r="A8" s="18" t="inlineStr">
        <is>
          <t>Other assets</t>
        </is>
      </c>
      <c r="B8" s="20" t="n">
        <v>0</v>
      </c>
    </row>
    <row r="10">
      <c r="A10" s="18" t="inlineStr">
        <is>
          <t>Loans</t>
        </is>
      </c>
      <c r="B10" s="20" t="n">
        <v>60000</v>
      </c>
    </row>
    <row r="11">
      <c r="A11" s="18" t="inlineStr">
        <is>
          <t>Margin</t>
        </is>
      </c>
      <c r="B11" s="20" t="n">
        <v>0</v>
      </c>
    </row>
    <row r="12">
      <c r="A12" s="18" t="inlineStr">
        <is>
          <t>Other liabilities</t>
        </is>
      </c>
      <c r="B12" s="20" t="n">
        <v>0</v>
      </c>
    </row>
    <row r="14">
      <c r="A14" s="18" t="inlineStr">
        <is>
          <t>Liquidation threshold (0 to 1)</t>
        </is>
      </c>
      <c r="B14" s="17" t="n">
        <v>0.8</v>
      </c>
    </row>
    <row r="15">
      <c r="A15" s="18" t="inlineStr">
        <is>
          <t>Borrow APY</t>
        </is>
      </c>
      <c r="B15" s="26" t="n">
        <v>5</v>
      </c>
    </row>
    <row r="16">
      <c r="A16" s="18" t="inlineStr">
        <is>
          <t>Monthly spending</t>
        </is>
      </c>
      <c r="B16" s="20" t="n">
        <v>5000</v>
      </c>
    </row>
    <row r="18">
      <c r="A18" s="18" t="inlineStr">
        <is>
          <t>Total assets</t>
        </is>
      </c>
      <c r="B18" s="19">
        <f>B5+B6+B7+B8</f>
        <v/>
      </c>
    </row>
    <row r="19">
      <c r="A19" s="18" t="inlineStr">
        <is>
          <t>Total liabilities</t>
        </is>
      </c>
      <c r="B19" s="19">
        <f>B10+B11+B12</f>
        <v/>
      </c>
    </row>
    <row r="20">
      <c r="A20" s="18" t="inlineStr">
        <is>
          <t>Equity</t>
        </is>
      </c>
      <c r="B20" s="19">
        <f>B18-B19</f>
        <v/>
      </c>
    </row>
    <row r="21">
      <c r="A21" s="18" t="inlineStr">
        <is>
          <t>LTV (loans ÷ collateral)</t>
        </is>
      </c>
      <c r="B21" s="21">
        <f>IF(B5=0,"",B10/B5)</f>
        <v/>
      </c>
    </row>
    <row r="22">
      <c r="A22" s="18" t="inlineStr">
        <is>
          <t>Health factor on collateral</t>
        </is>
      </c>
      <c r="B22" s="22">
        <f>IF(OR(B10=0,B14=""),"",B5*B14/B10)</f>
        <v/>
      </c>
    </row>
    <row r="23">
      <c r="A23" s="18" t="inlineStr">
        <is>
          <t>Monthly interest</t>
        </is>
      </c>
      <c r="B23" s="19">
        <f>IF(B15="","",B10*B15/100/12)</f>
        <v/>
      </c>
    </row>
    <row r="24">
      <c r="A24" s="18" t="inlineStr">
        <is>
          <t>Reserve runway (months)</t>
        </is>
      </c>
      <c r="B24" s="29">
        <f>IF((B16+B23)=0,"",B7/(B16+B23))</f>
        <v/>
      </c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mergeCells count="3">
    <mergeCell ref="A3:B3"/>
    <mergeCell ref="A2:B2"/>
    <mergeCell ref="A1:B1"/>
  </mergeCells>
  <conditionalFormatting sqref="B22">
    <cfRule type="expression" priority="1" dxfId="0">
      <formula>AND(ISNUMBER(B22),B22&lt;1.5)</formula>
    </cfRule>
  </conditionalFormatting>
  <pageMargins left="0.5" right="0.5" top="0.6" bottom="0.6" header="0.25" footer="0.25"/>
  <pageSetup orientation="landscape" paperSize="3" fitToHeight="0" fitToWidth="1"/>
  <headerFooter>
    <oddHeader>&amp;LOn-Chain Operator Program&amp;CW6 · Balance sheet</oddHeader>
    <oddFooter>&amp;LEducational only. Not financial, tax, or legal advice. Never type a seed phrase, private key, API key, or password.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5" customWidth="1" min="2" max="2"/>
    <col width="28" customWidth="1" min="3" max="3"/>
  </cols>
  <sheetData>
    <row r="1" ht="28" customHeight="1">
      <c r="A1" s="1" t="inlineStr">
        <is>
          <t>W7 · Custody policy</t>
        </is>
      </c>
    </row>
    <row r="2" ht="18" customHeight="1">
      <c r="A2" s="2" t="inlineStr">
        <is>
          <t>Lesson 12.2</t>
        </is>
      </c>
    </row>
    <row r="3" ht="32" customHeight="1">
      <c r="A3" s="3" t="inlineStr">
        <is>
          <t>Describe roles and wallet types. Do not write where a seed phrase is, and do not write the phrase. Educational only. Not financial, tax, or legal advice. Never type a seed phrase, private key, API key, or password.</t>
        </is>
      </c>
    </row>
    <row r="5" ht="22" customHeight="1">
      <c r="A5" s="18" t="inlineStr">
        <is>
          <t>Vault type (for example 2 of 3 multisig)</t>
        </is>
      </c>
      <c r="B5" s="38" t="n"/>
    </row>
    <row r="6" ht="22" customHeight="1">
      <c r="A6" s="18" t="inlineStr">
        <is>
          <t>Key holders, by role</t>
        </is>
      </c>
      <c r="B6" s="38" t="n"/>
    </row>
    <row r="7" ht="22" customHeight="1">
      <c r="A7" s="18" t="inlineStr">
        <is>
          <t>Allowlisted destinations, described generally</t>
        </is>
      </c>
      <c r="B7" s="38" t="n"/>
    </row>
    <row r="8" ht="22" customHeight="1">
      <c r="A8" s="18" t="inlineStr">
        <is>
          <t>Timelock</t>
        </is>
      </c>
      <c r="B8" s="38" t="n"/>
    </row>
    <row r="10" ht="22" customHeight="1">
      <c r="A10" s="18" t="inlineStr">
        <is>
          <t>Operating wallet type</t>
        </is>
      </c>
      <c r="B10" s="38" t="n"/>
    </row>
    <row r="11" ht="22" customHeight="1">
      <c r="A11" s="18" t="inlineStr">
        <is>
          <t>Daily limit</t>
        </is>
      </c>
      <c r="B11" s="38" t="n"/>
    </row>
    <row r="12" ht="22" customHeight="1">
      <c r="A12" s="18" t="inlineStr">
        <is>
          <t>Protocols the operating wallet may use</t>
        </is>
      </c>
      <c r="B12" s="38" t="n"/>
    </row>
    <row r="14" ht="22" customHeight="1">
      <c r="A14" s="18" t="inlineStr">
        <is>
          <t>Hot float size</t>
        </is>
      </c>
      <c r="B14" s="38" t="n"/>
    </row>
    <row r="15" ht="22" customHeight="1">
      <c r="A15" s="18" t="inlineStr">
        <is>
          <t>Refill schedule</t>
        </is>
      </c>
      <c r="B15" s="38" t="n"/>
    </row>
    <row r="17" ht="22" customHeight="1">
      <c r="A17" s="4" t="inlineStr">
        <is>
          <t>Date</t>
        </is>
      </c>
      <c r="B17" s="4" t="inlineStr">
        <is>
          <t>Recovery path tested (no secrets)</t>
        </is>
      </c>
      <c r="C17" s="4" t="inlineStr">
        <is>
          <t>Result</t>
        </is>
      </c>
    </row>
    <row r="18" ht="18" customHeight="1">
      <c r="A18" s="35" t="n"/>
      <c r="B18" s="35" t="n"/>
      <c r="C18" s="35" t="n"/>
    </row>
    <row r="19" ht="18" customHeight="1">
      <c r="A19" s="35" t="n"/>
      <c r="B19" s="35" t="n"/>
      <c r="C19" s="35" t="n"/>
    </row>
    <row r="20" ht="18" customHeight="1">
      <c r="A20" s="35" t="n"/>
      <c r="B20" s="35" t="n"/>
      <c r="C20" s="35" t="n"/>
    </row>
    <row r="21" ht="18" customHeight="1">
      <c r="A21" s="35" t="n"/>
      <c r="B21" s="35" t="n"/>
      <c r="C21" s="35" t="n"/>
    </row>
    <row r="22" ht="18" customHeight="1">
      <c r="A22" s="35" t="n"/>
      <c r="B22" s="35" t="n"/>
      <c r="C22" s="35" t="n"/>
    </row>
    <row r="23" ht="18" customHeight="1">
      <c r="A23" s="35" t="n"/>
      <c r="B23" s="35" t="n"/>
      <c r="C23" s="35" t="n"/>
    </row>
    <row r="24" ht="18" customHeight="1">
      <c r="A24" s="35" t="n"/>
      <c r="B24" s="35" t="n"/>
      <c r="C24" s="35" t="n"/>
    </row>
    <row r="25" ht="18" customHeight="1">
      <c r="A25" s="35" t="n"/>
      <c r="B25" s="35" t="n"/>
      <c r="C25" s="35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17:C25"/>
  <mergeCells count="3">
    <mergeCell ref="A3:B3"/>
    <mergeCell ref="A2:B2"/>
    <mergeCell ref="A1:B1"/>
  </mergeCells>
  <pageMargins left="0.5" right="0.5" top="0.6" bottom="0.6" header="0.25" footer="0.25"/>
  <pageSetup orientation="landscape" paperSize="3" fitToHeight="0" fitToWidth="1"/>
  <headerFooter>
    <oddHeader>&amp;LOn-Chain Operator Program&amp;CW7 · Custody policy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42" customWidth="1" min="2" max="2"/>
  </cols>
  <sheetData>
    <row r="1" ht="28" customHeight="1">
      <c r="A1" s="1" t="inlineStr">
        <is>
          <t>W8 · Credit policy</t>
        </is>
      </c>
    </row>
    <row r="2" ht="18" customHeight="1">
      <c r="A2" s="2" t="inlineStr">
        <is>
          <t>Lesson 12.3</t>
        </is>
      </c>
    </row>
    <row r="3" ht="32" customHeight="1">
      <c r="A3" s="3" t="inlineStr">
        <is>
          <t>The checks read the balance sheet on W6. Fill that sheet first. Educational only. Not financial, tax, or legal advice. Never type a seed phrase, private key, API key, or password.</t>
        </is>
      </c>
    </row>
    <row r="5">
      <c r="A5" s="18" t="inlineStr">
        <is>
          <t>Max LTV (0 to 1)</t>
        </is>
      </c>
      <c r="B5" s="17" t="n">
        <v>0.3</v>
      </c>
    </row>
    <row r="6">
      <c r="A6" s="18" t="inlineStr">
        <is>
          <t>Health-factor floor</t>
        </is>
      </c>
      <c r="B6" s="17" t="n">
        <v>2</v>
      </c>
    </row>
    <row r="7">
      <c r="A7" s="18" t="inlineStr">
        <is>
          <t>Alert level 1</t>
        </is>
      </c>
      <c r="B7" s="17" t="n"/>
    </row>
    <row r="8">
      <c r="A8" s="18" t="inlineStr">
        <is>
          <t>Action at alert 1</t>
        </is>
      </c>
      <c r="B8" s="38" t="n"/>
    </row>
    <row r="9">
      <c r="A9" s="18" t="inlineStr">
        <is>
          <t>Alert level 2</t>
        </is>
      </c>
      <c r="B9" s="17" t="n"/>
    </row>
    <row r="10">
      <c r="A10" s="18" t="inlineStr">
        <is>
          <t>Action at alert 2</t>
        </is>
      </c>
      <c r="B10" s="38" t="n"/>
    </row>
    <row r="11">
      <c r="A11" s="18" t="inlineStr">
        <is>
          <t>Fixed or variable, and why</t>
        </is>
      </c>
      <c r="B11" s="38" t="n"/>
    </row>
    <row r="12">
      <c r="A12" s="18" t="inlineStr">
        <is>
          <t>Repayment source</t>
        </is>
      </c>
      <c r="B12" s="38" t="n"/>
    </row>
    <row r="13">
      <c r="A13" s="18" t="inlineStr">
        <is>
          <t>Collateral you allow</t>
        </is>
      </c>
      <c r="B13" s="38" t="n"/>
    </row>
    <row r="15">
      <c r="A15" s="18" t="inlineStr">
        <is>
          <t>W6 LTV is within this cap</t>
        </is>
      </c>
      <c r="B15" s="30">
        <f>IF(OR(B5="",'W6 Balance sheet'!B21=""),"",IF('W6 Balance sheet'!B21&lt;=B5,"Yes","No"))</f>
        <v/>
      </c>
    </row>
    <row r="16">
      <c r="A16" s="18" t="inlineStr">
        <is>
          <t>W6 health factor is at or above the floor</t>
        </is>
      </c>
      <c r="B16" s="30">
        <f>IF(OR(B6="",'W6 Balance sheet'!B22=""),"",IF('W6 Balance sheet'!B22&gt;=B6,"Yes","No"))</f>
        <v/>
      </c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mergeCells count="3">
    <mergeCell ref="A3:B3"/>
    <mergeCell ref="A2:B2"/>
    <mergeCell ref="A1:B1"/>
  </mergeCells>
  <pageMargins left="0.5" right="0.5" top="0.6" bottom="0.6" header="0.25" footer="0.25"/>
  <pageSetup orientation="landscape" paperSize="3" fitToHeight="0" fitToWidth="1"/>
  <headerFooter>
    <oddHeader>&amp;LOn-Chain Operator Program&amp;CW8 · Credit policy</oddHeader>
    <oddFooter>&amp;LEducational only. Not financial, tax, or legal advice. Never type a seed phrase, private key, API key, or password.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20" customWidth="1" min="4" max="4"/>
    <col width="20" customWidth="1" min="5" max="5"/>
    <col width="14" customWidth="1" min="6" max="6"/>
  </cols>
  <sheetData>
    <row r="1" ht="28" customHeight="1">
      <c r="A1" s="1" t="inlineStr">
        <is>
          <t>W9 · Liquidity ladder</t>
        </is>
      </c>
    </row>
    <row r="2" ht="18" customHeight="1">
      <c r="A2" s="2" t="inlineStr">
        <is>
          <t>Lesson 12.4</t>
        </is>
      </c>
    </row>
    <row r="3" ht="32" customHeight="1">
      <c r="A3" s="3" t="inlineStr">
        <is>
          <t>Target and current are in months of obligations. The gap is target minus current. Educational only. Not financial, tax, or legal advice. Never type a seed phrase, private key, API key, or password.</t>
        </is>
      </c>
    </row>
    <row r="4" ht="22" customHeight="1">
      <c r="A4" s="4" t="inlineStr">
        <is>
          <t>Tier</t>
        </is>
      </c>
      <c r="B4" s="4" t="inlineStr">
        <is>
          <t>Access</t>
        </is>
      </c>
      <c r="C4" s="4" t="inlineStr">
        <is>
          <t>Holds</t>
        </is>
      </c>
      <c r="D4" s="4" t="inlineStr">
        <is>
          <t>Target (months)</t>
        </is>
      </c>
      <c r="E4" s="4" t="inlineStr">
        <is>
          <t>Current (months)</t>
        </is>
      </c>
      <c r="F4" s="4" t="inlineStr">
        <is>
          <t>Gap</t>
        </is>
      </c>
    </row>
    <row r="5">
      <c r="A5" s="44" t="inlineStr">
        <is>
          <t>T0</t>
        </is>
      </c>
      <c r="B5" s="8" t="inlineStr">
        <is>
          <t>Seconds</t>
        </is>
      </c>
      <c r="C5" s="38" t="n"/>
      <c r="D5" s="45" t="n"/>
      <c r="E5" s="45" t="n"/>
      <c r="F5" s="29">
        <f>IF(OR(D5="",E5=""),"",D5-E5)</f>
        <v/>
      </c>
    </row>
    <row r="6">
      <c r="A6" s="44" t="inlineStr">
        <is>
          <t>T1</t>
        </is>
      </c>
      <c r="B6" s="8" t="inlineStr">
        <is>
          <t>Hours</t>
        </is>
      </c>
      <c r="C6" s="38" t="n"/>
      <c r="D6" s="45" t="n"/>
      <c r="E6" s="45" t="n"/>
      <c r="F6" s="29">
        <f>IF(OR(D6="",E6=""),"",D6-E6)</f>
        <v/>
      </c>
    </row>
    <row r="7">
      <c r="A7" s="44" t="inlineStr">
        <is>
          <t>T2</t>
        </is>
      </c>
      <c r="B7" s="8" t="inlineStr">
        <is>
          <t>Scheduled</t>
        </is>
      </c>
      <c r="C7" s="38" t="n"/>
      <c r="D7" s="45" t="n"/>
      <c r="E7" s="45" t="n"/>
      <c r="F7" s="29">
        <f>IF(OR(D7="",E7=""),"",D7-E7)</f>
        <v/>
      </c>
    </row>
    <row r="8">
      <c r="A8" s="44" t="inlineStr">
        <is>
          <t>T3</t>
        </is>
      </c>
      <c r="B8" s="8" t="inlineStr">
        <is>
          <t>Days–weeks</t>
        </is>
      </c>
      <c r="C8" s="38" t="n"/>
      <c r="D8" s="45" t="n"/>
      <c r="E8" s="45" t="n"/>
      <c r="F8" s="29">
        <f>IF(OR(D8="",E8=""),"",D8-E8)</f>
        <v/>
      </c>
    </row>
    <row r="10">
      <c r="A10" s="18" t="inlineStr">
        <is>
          <t>Refill rule</t>
        </is>
      </c>
      <c r="C10" s="38" t="n"/>
      <c r="D10" s="42" t="n"/>
      <c r="E10" s="42" t="n"/>
      <c r="F10" s="43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F5"/>
  <mergeCells count="4">
    <mergeCell ref="A3:F3"/>
    <mergeCell ref="A2:F2"/>
    <mergeCell ref="C10:F10"/>
    <mergeCell ref="A1:F1"/>
  </mergeCells>
  <pageMargins left="0.5" right="0.5" top="0.6" bottom="0.6" header="0.25" footer="0.25"/>
  <pageSetup orientation="landscape" paperSize="3" fitToHeight="0" fitToWidth="1"/>
  <headerFooter>
    <oddHeader>&amp;LOn-Chain Operator Program&amp;CW9 · Liquidity ladder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24" customWidth="1" min="6" max="6"/>
    <col width="14" customWidth="1" min="7" max="7"/>
    <col width="16" customWidth="1" min="8" max="8"/>
    <col width="14" customWidth="1" min="9" max="9"/>
  </cols>
  <sheetData>
    <row r="1" ht="28" customHeight="1">
      <c r="A1" s="1" t="inlineStr">
        <is>
          <t>W10 · Lending policy</t>
        </is>
      </c>
    </row>
    <row r="2" ht="18" customHeight="1">
      <c r="A2" s="2" t="inlineStr">
        <is>
          <t>Lesson 12.5</t>
        </is>
      </c>
    </row>
    <row r="3" ht="32" customHeight="1">
      <c r="A3" s="3" t="inlineStr">
        <is>
          <t>Expected loss is your assumed probability times the share you would lose. It is an assumption you type, not a forecast.  Educational only. Not financial, tax, or legal advice. Never type a seed phrase, private key, API key, or password.</t>
        </is>
      </c>
    </row>
    <row r="4" ht="22" customHeight="1">
      <c r="A4" s="4" t="inlineStr">
        <is>
          <t>Market or vault</t>
        </is>
      </c>
      <c r="B4" s="4" t="inlineStr">
        <is>
          <t>Collateral</t>
        </is>
      </c>
      <c r="C4" s="4" t="inlineStr">
        <is>
          <t>Oracle</t>
        </is>
      </c>
      <c r="D4" s="4" t="inlineStr">
        <is>
          <t>Liquidation LTV (0–1)</t>
        </is>
      </c>
      <c r="E4" s="4" t="inlineStr">
        <is>
          <t>Curator</t>
        </is>
      </c>
      <c r="F4" s="4" t="inlineStr">
        <is>
          <t>Loss probability (0–1)</t>
        </is>
      </c>
      <c r="G4" s="4" t="inlineStr">
        <is>
          <t>LGD (0–1)</t>
        </is>
      </c>
      <c r="H4" s="4" t="inlineStr">
        <is>
          <t>Expected loss</t>
        </is>
      </c>
      <c r="I4" s="4" t="inlineStr">
        <is>
          <t>Cap</t>
        </is>
      </c>
    </row>
    <row r="5" ht="18" customHeight="1">
      <c r="A5" s="35" t="n"/>
      <c r="B5" s="35" t="n"/>
      <c r="C5" s="35" t="n"/>
      <c r="D5" s="46" t="n"/>
      <c r="E5" s="35" t="n"/>
      <c r="F5" s="46" t="n"/>
      <c r="G5" s="46" t="n"/>
      <c r="H5" s="21">
        <f>IF(OR(F5="",G5=""),"",F5*G5)</f>
        <v/>
      </c>
      <c r="I5" s="47" t="n"/>
    </row>
    <row r="6" ht="18" customHeight="1">
      <c r="A6" s="35" t="n"/>
      <c r="B6" s="35" t="n"/>
      <c r="C6" s="35" t="n"/>
      <c r="D6" s="46" t="n"/>
      <c r="E6" s="35" t="n"/>
      <c r="F6" s="46" t="n"/>
      <c r="G6" s="46" t="n"/>
      <c r="H6" s="21">
        <f>IF(OR(F6="",G6=""),"",F6*G6)</f>
        <v/>
      </c>
      <c r="I6" s="47" t="n"/>
    </row>
    <row r="7" ht="18" customHeight="1">
      <c r="A7" s="35" t="n"/>
      <c r="B7" s="35" t="n"/>
      <c r="C7" s="35" t="n"/>
      <c r="D7" s="46" t="n"/>
      <c r="E7" s="35" t="n"/>
      <c r="F7" s="46" t="n"/>
      <c r="G7" s="46" t="n"/>
      <c r="H7" s="21">
        <f>IF(OR(F7="",G7=""),"",F7*G7)</f>
        <v/>
      </c>
      <c r="I7" s="47" t="n"/>
    </row>
    <row r="8" ht="18" customHeight="1">
      <c r="A8" s="35" t="n"/>
      <c r="B8" s="35" t="n"/>
      <c r="C8" s="35" t="n"/>
      <c r="D8" s="46" t="n"/>
      <c r="E8" s="35" t="n"/>
      <c r="F8" s="46" t="n"/>
      <c r="G8" s="46" t="n"/>
      <c r="H8" s="21">
        <f>IF(OR(F8="",G8=""),"",F8*G8)</f>
        <v/>
      </c>
      <c r="I8" s="47" t="n"/>
    </row>
    <row r="9" ht="18" customHeight="1">
      <c r="A9" s="35" t="n"/>
      <c r="B9" s="35" t="n"/>
      <c r="C9" s="35" t="n"/>
      <c r="D9" s="46" t="n"/>
      <c r="E9" s="35" t="n"/>
      <c r="F9" s="46" t="n"/>
      <c r="G9" s="46" t="n"/>
      <c r="H9" s="21">
        <f>IF(OR(F9="",G9=""),"",F9*G9)</f>
        <v/>
      </c>
      <c r="I9" s="47" t="n"/>
    </row>
    <row r="10" ht="18" customHeight="1">
      <c r="A10" s="35" t="n"/>
      <c r="B10" s="35" t="n"/>
      <c r="C10" s="35" t="n"/>
      <c r="D10" s="46" t="n"/>
      <c r="E10" s="35" t="n"/>
      <c r="F10" s="46" t="n"/>
      <c r="G10" s="46" t="n"/>
      <c r="H10" s="21">
        <f>IF(OR(F10="",G10=""),"",F10*G10)</f>
        <v/>
      </c>
      <c r="I10" s="47" t="n"/>
    </row>
    <row r="11" ht="18" customHeight="1">
      <c r="A11" s="35" t="n"/>
      <c r="B11" s="35" t="n"/>
      <c r="C11" s="35" t="n"/>
      <c r="D11" s="46" t="n"/>
      <c r="E11" s="35" t="n"/>
      <c r="F11" s="46" t="n"/>
      <c r="G11" s="46" t="n"/>
      <c r="H11" s="21">
        <f>IF(OR(F11="",G11=""),"",F11*G11)</f>
        <v/>
      </c>
      <c r="I11" s="47" t="n"/>
    </row>
    <row r="12" ht="18" customHeight="1">
      <c r="A12" s="35" t="n"/>
      <c r="B12" s="35" t="n"/>
      <c r="C12" s="35" t="n"/>
      <c r="D12" s="46" t="n"/>
      <c r="E12" s="35" t="n"/>
      <c r="F12" s="46" t="n"/>
      <c r="G12" s="46" t="n"/>
      <c r="H12" s="21">
        <f>IF(OR(F12="",G12=""),"",F12*G12)</f>
        <v/>
      </c>
      <c r="I12" s="47" t="n"/>
    </row>
    <row r="13" ht="18" customHeight="1">
      <c r="A13" s="35" t="n"/>
      <c r="B13" s="35" t="n"/>
      <c r="C13" s="35" t="n"/>
      <c r="D13" s="46" t="n"/>
      <c r="E13" s="35" t="n"/>
      <c r="F13" s="46" t="n"/>
      <c r="G13" s="46" t="n"/>
      <c r="H13" s="21">
        <f>IF(OR(F13="",G13=""),"",F13*G13)</f>
        <v/>
      </c>
      <c r="I13" s="47" t="n"/>
    </row>
    <row r="14" ht="18" customHeight="1">
      <c r="A14" s="35" t="n"/>
      <c r="B14" s="35" t="n"/>
      <c r="C14" s="35" t="n"/>
      <c r="D14" s="46" t="n"/>
      <c r="E14" s="35" t="n"/>
      <c r="F14" s="46" t="n"/>
      <c r="G14" s="46" t="n"/>
      <c r="H14" s="21">
        <f>IF(OR(F14="",G14=""),"",F14*G14)</f>
        <v/>
      </c>
      <c r="I14" s="47" t="n"/>
    </row>
    <row r="15" ht="18" customHeight="1">
      <c r="A15" s="35" t="n"/>
      <c r="B15" s="35" t="n"/>
      <c r="C15" s="35" t="n"/>
      <c r="D15" s="46" t="n"/>
      <c r="E15" s="35" t="n"/>
      <c r="F15" s="46" t="n"/>
      <c r="G15" s="46" t="n"/>
      <c r="H15" s="21">
        <f>IF(OR(F15="",G15=""),"",F15*G15)</f>
        <v/>
      </c>
      <c r="I15" s="47" t="n"/>
    </row>
    <row r="16" ht="18" customHeight="1">
      <c r="A16" s="35" t="n"/>
      <c r="B16" s="35" t="n"/>
      <c r="C16" s="35" t="n"/>
      <c r="D16" s="46" t="n"/>
      <c r="E16" s="35" t="n"/>
      <c r="F16" s="46" t="n"/>
      <c r="G16" s="46" t="n"/>
      <c r="H16" s="21">
        <f>IF(OR(F16="",G16=""),"",F16*G16)</f>
        <v/>
      </c>
      <c r="I16" s="47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I16"/>
  <mergeCells count="3">
    <mergeCell ref="A1:I1"/>
    <mergeCell ref="A3:I3"/>
    <mergeCell ref="A2:I2"/>
  </mergeCells>
  <pageMargins left="0.5" right="0.5" top="0.6" bottom="0.6" header="0.25" footer="0.25"/>
  <pageSetup orientation="landscape" paperSize="3" fitToHeight="0" fitToWidth="1"/>
  <headerFooter>
    <oddHeader>&amp;LOn-Chain Operator Program&amp;CW10 · Lending policy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  <col width="20" customWidth="1" min="7" max="7"/>
  </cols>
  <sheetData>
    <row r="1" ht="28" customHeight="1">
      <c r="A1" s="1" t="inlineStr">
        <is>
          <t>W11 · Income portfolio and payout</t>
        </is>
      </c>
    </row>
    <row r="2" ht="18" customHeight="1">
      <c r="A2" s="2" t="inlineStr">
        <is>
          <t>Module 13</t>
        </is>
      </c>
    </row>
    <row r="3" ht="48" customHeight="1">
      <c r="A3" s="3" t="inlineStr">
        <is>
          <t>Rows already filled in are the Lesson 13.3 example ($500,000, five positions, 70% payout). Replace them with yours. Net yield is the headline minus probability times loss given default. Educational only. Not financial, tax, or legal advice. Never type a seed phrase, private key, API key, or password.</t>
        </is>
      </c>
    </row>
    <row r="4" ht="22" customHeight="1">
      <c r="A4" s="4" t="inlineStr">
        <is>
          <t>Position</t>
        </is>
      </c>
      <c r="B4" s="4" t="inlineStr">
        <is>
          <t>Amount</t>
        </is>
      </c>
      <c r="C4" s="4" t="inlineStr">
        <is>
          <t>Yield %</t>
        </is>
      </c>
      <c r="D4" s="4" t="inlineStr">
        <is>
          <t>Loss probability (0–1)</t>
        </is>
      </c>
      <c r="E4" s="4" t="inlineStr">
        <is>
          <t>LGD (0–1)</t>
        </is>
      </c>
      <c r="F4" s="4" t="inlineStr">
        <is>
          <t>Net yield</t>
        </is>
      </c>
      <c r="G4" s="4" t="inlineStr">
        <is>
          <t>Income per year</t>
        </is>
      </c>
    </row>
    <row r="5" ht="18" customHeight="1">
      <c r="A5" s="35" t="inlineStr">
        <is>
          <t>Stable lending A</t>
        </is>
      </c>
      <c r="B5" s="37" t="n">
        <v>100000</v>
      </c>
      <c r="C5" s="48" t="n">
        <v>5</v>
      </c>
      <c r="D5" s="46" t="n">
        <v>0.005</v>
      </c>
      <c r="E5" s="46" t="n">
        <v>1</v>
      </c>
      <c r="F5" s="25">
        <f>IF(C5="","",C5-D5*E5*100)</f>
        <v/>
      </c>
      <c r="G5" s="19">
        <f>IF(OR(B5="",F5=""),"",B5*F5/100)</f>
        <v/>
      </c>
    </row>
    <row r="6" ht="18" customHeight="1">
      <c r="A6" s="35" t="inlineStr">
        <is>
          <t>Stable lending B</t>
        </is>
      </c>
      <c r="B6" s="37" t="n">
        <v>100000</v>
      </c>
      <c r="C6" s="48" t="n">
        <v>4.5</v>
      </c>
      <c r="D6" s="46" t="n">
        <v>0.005</v>
      </c>
      <c r="E6" s="46" t="n">
        <v>1</v>
      </c>
      <c r="F6" s="25">
        <f>IF(C6="","",C6-D6*E6*100)</f>
        <v/>
      </c>
      <c r="G6" s="19">
        <f>IF(OR(B6="",F6=""),"",B6*F6/100)</f>
        <v/>
      </c>
    </row>
    <row r="7" ht="18" customHeight="1">
      <c r="A7" s="35" t="inlineStr">
        <is>
          <t>LST staking</t>
        </is>
      </c>
      <c r="B7" s="37" t="n">
        <v>150000</v>
      </c>
      <c r="C7" s="48" t="n">
        <v>3.2</v>
      </c>
      <c r="D7" s="46" t="n">
        <v>0.01</v>
      </c>
      <c r="E7" s="46" t="n">
        <v>0.5</v>
      </c>
      <c r="F7" s="25">
        <f>IF(C7="","",C7-D7*E7*100)</f>
        <v/>
      </c>
      <c r="G7" s="19">
        <f>IF(OR(B7="",F7=""),"",B7*F7/100)</f>
        <v/>
      </c>
    </row>
    <row r="8" ht="18" customHeight="1">
      <c r="A8" s="35" t="inlineStr">
        <is>
          <t>PT fixed stable</t>
        </is>
      </c>
      <c r="B8" s="37" t="n">
        <v>100000</v>
      </c>
      <c r="C8" s="48" t="n">
        <v>8</v>
      </c>
      <c r="D8" s="46" t="n">
        <v>0.02</v>
      </c>
      <c r="E8" s="46" t="n">
        <v>0.5</v>
      </c>
      <c r="F8" s="25">
        <f>IF(C8="","",C8-D8*E8*100)</f>
        <v/>
      </c>
      <c r="G8" s="19">
        <f>IF(OR(B8="",F8=""),"",B8*F8/100)</f>
        <v/>
      </c>
    </row>
    <row r="9" ht="18" customHeight="1">
      <c r="A9" s="35" t="inlineStr">
        <is>
          <t>Funding carry</t>
        </is>
      </c>
      <c r="B9" s="37" t="n">
        <v>50000</v>
      </c>
      <c r="C9" s="48" t="n">
        <v>9</v>
      </c>
      <c r="D9" s="46" t="n">
        <v>0.05</v>
      </c>
      <c r="E9" s="46" t="n">
        <v>0.3</v>
      </c>
      <c r="F9" s="25">
        <f>IF(C9="","",C9-D9*E9*100)</f>
        <v/>
      </c>
      <c r="G9" s="19">
        <f>IF(OR(B9="",F9=""),"",B9*F9/100)</f>
        <v/>
      </c>
    </row>
    <row r="10" ht="18" customHeight="1">
      <c r="A10" s="35" t="n"/>
      <c r="B10" s="37" t="n"/>
      <c r="C10" s="48" t="n"/>
      <c r="D10" s="46" t="n"/>
      <c r="E10" s="46" t="n"/>
      <c r="F10" s="25">
        <f>IF(C10="","",C10-D10*E10*100)</f>
        <v/>
      </c>
      <c r="G10" s="19">
        <f>IF(OR(B10="",F10=""),"",B10*F10/100)</f>
        <v/>
      </c>
    </row>
    <row r="11" ht="18" customHeight="1">
      <c r="A11" s="35" t="n"/>
      <c r="B11" s="37" t="n"/>
      <c r="C11" s="48" t="n"/>
      <c r="D11" s="46" t="n"/>
      <c r="E11" s="46" t="n"/>
      <c r="F11" s="25">
        <f>IF(C11="","",C11-D11*E11*100)</f>
        <v/>
      </c>
      <c r="G11" s="19">
        <f>IF(OR(B11="",F11=""),"",B11*F11/100)</f>
        <v/>
      </c>
    </row>
    <row r="12" ht="18" customHeight="1">
      <c r="A12" s="35" t="n"/>
      <c r="B12" s="37" t="n"/>
      <c r="C12" s="48" t="n"/>
      <c r="D12" s="46" t="n"/>
      <c r="E12" s="46" t="n"/>
      <c r="F12" s="25">
        <f>IF(C12="","",C12-D12*E12*100)</f>
        <v/>
      </c>
      <c r="G12" s="19">
        <f>IF(OR(B12="",F12=""),"",B12*F12/100)</f>
        <v/>
      </c>
    </row>
    <row r="13" ht="18" customHeight="1">
      <c r="A13" s="35" t="n"/>
      <c r="B13" s="37" t="n"/>
      <c r="C13" s="48" t="n"/>
      <c r="D13" s="46" t="n"/>
      <c r="E13" s="46" t="n"/>
      <c r="F13" s="25">
        <f>IF(C13="","",C13-D13*E13*100)</f>
        <v/>
      </c>
      <c r="G13" s="19">
        <f>IF(OR(B13="",F13=""),"",B13*F13/100)</f>
        <v/>
      </c>
    </row>
    <row r="14" ht="18" customHeight="1">
      <c r="A14" s="35" t="n"/>
      <c r="B14" s="37" t="n"/>
      <c r="C14" s="48" t="n"/>
      <c r="D14" s="46" t="n"/>
      <c r="E14" s="46" t="n"/>
      <c r="F14" s="25">
        <f>IF(C14="","",C14-D14*E14*100)</f>
        <v/>
      </c>
      <c r="G14" s="19">
        <f>IF(OR(B14="",F14=""),"",B14*F14/100)</f>
        <v/>
      </c>
    </row>
    <row r="16">
      <c r="A16" s="18" t="inlineStr">
        <is>
          <t>Capital</t>
        </is>
      </c>
      <c r="B16" s="19">
        <f>SUM(B5:B14)</f>
        <v/>
      </c>
    </row>
    <row r="17">
      <c r="A17" s="18" t="inlineStr">
        <is>
          <t>Expected income per year</t>
        </is>
      </c>
      <c r="G17" s="19">
        <f>SUM(G5:G14)</f>
        <v/>
      </c>
    </row>
    <row r="18">
      <c r="A18" s="18" t="inlineStr">
        <is>
          <t>Blended risk-adjusted yield</t>
        </is>
      </c>
      <c r="F18" s="25">
        <f>IF(B16=0,"",G17/B16*100)</f>
        <v/>
      </c>
    </row>
    <row r="20">
      <c r="A20" s="18" t="inlineStr">
        <is>
          <t>Payout ratio (0 to 1)</t>
        </is>
      </c>
      <c r="B20" s="17" t="n">
        <v>0.7</v>
      </c>
    </row>
    <row r="21">
      <c r="A21" s="18" t="inlineStr">
        <is>
          <t>Payout per year</t>
        </is>
      </c>
      <c r="B21" s="19">
        <f>IF(B20="","",G17*B20)</f>
        <v/>
      </c>
    </row>
    <row r="22">
      <c r="A22" s="18" t="inlineStr">
        <is>
          <t>Payout per month</t>
        </is>
      </c>
      <c r="B22" s="19">
        <f>IF(B21="","",B21/12)</f>
        <v/>
      </c>
    </row>
    <row r="23">
      <c r="A23" s="18" t="inlineStr">
        <is>
          <t>Retained as a buffer</t>
        </is>
      </c>
      <c r="B23" s="19">
        <f>IF(B21="","",G17-B21)</f>
        <v/>
      </c>
    </row>
    <row r="25">
      <c r="A25" s="18" t="inlineStr">
        <is>
          <t>Review rule</t>
        </is>
      </c>
      <c r="B25" s="38" t="n"/>
      <c r="C25" s="42" t="n"/>
      <c r="D25" s="42" t="n"/>
      <c r="E25" s="42" t="n"/>
      <c r="F25" s="42" t="n"/>
      <c r="G25" s="43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G14"/>
  <mergeCells count="4">
    <mergeCell ref="A3:G3"/>
    <mergeCell ref="A2:G2"/>
    <mergeCell ref="A1:G1"/>
    <mergeCell ref="B25:G25"/>
  </mergeCells>
  <pageMargins left="0.5" right="0.5" top="0.6" bottom="0.6" header="0.25" footer="0.25"/>
  <pageSetup orientation="landscape" paperSize="3" fitToHeight="0" fitToWidth="1"/>
  <headerFooter>
    <oddHeader>&amp;LOn-Chain Operator Program&amp;CW11 · Income portfolio and payout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</cols>
  <sheetData>
    <row r="1" ht="28" customHeight="1">
      <c r="A1" s="1" t="inlineStr">
        <is>
          <t>W12 · Stress test</t>
        </is>
      </c>
    </row>
    <row r="2" ht="18" customHeight="1">
      <c r="A2" s="2" t="inlineStr">
        <is>
          <t>Lesson 11.4</t>
        </is>
      </c>
    </row>
    <row r="3" ht="32" customHeight="1">
      <c r="A3" s="3" t="inlineStr">
        <is>
          <t>The five scenarios are the lesson's set. Fill the loss and the fix before you need them. Educational only. Not financial, tax, or legal advice. Never type a seed phrase, private key, API key, or password.</t>
        </is>
      </c>
    </row>
    <row r="4" ht="22" customHeight="1">
      <c r="A4" s="4" t="inlineStr">
        <is>
          <t>Scenario</t>
        </is>
      </c>
      <c r="B4" s="4" t="inlineStr">
        <is>
          <t>Loss</t>
        </is>
      </c>
      <c r="C4" s="4" t="inlineStr">
        <is>
          <t>Liquidations?</t>
        </is>
      </c>
      <c r="D4" s="4" t="inlineStr">
        <is>
          <t>Liquidity OK?</t>
        </is>
      </c>
      <c r="E4" s="4" t="inlineStr">
        <is>
          <t>Payout OK?</t>
        </is>
      </c>
      <c r="F4" s="4" t="inlineStr">
        <is>
          <t>Fix</t>
        </is>
      </c>
    </row>
    <row r="5">
      <c r="A5" s="44" t="inlineStr">
        <is>
          <t>Crypto −50%</t>
        </is>
      </c>
      <c r="B5" s="49" t="n"/>
      <c r="C5" s="38" t="n"/>
      <c r="D5" s="38" t="n"/>
      <c r="E5" s="38" t="n"/>
      <c r="F5" s="38" t="n"/>
    </row>
    <row r="6">
      <c r="A6" s="44" t="inlineStr">
        <is>
          <t>Stablecoin −10%</t>
        </is>
      </c>
      <c r="B6" s="49" t="n"/>
      <c r="C6" s="38" t="n"/>
      <c r="D6" s="38" t="n"/>
      <c r="E6" s="38" t="n"/>
      <c r="F6" s="38" t="n"/>
    </row>
    <row r="7">
      <c r="A7" s="44" t="inlineStr">
        <is>
          <t>Borrow rate 20%</t>
        </is>
      </c>
      <c r="B7" s="49" t="n"/>
      <c r="C7" s="38" t="n"/>
      <c r="D7" s="38" t="n"/>
      <c r="E7" s="38" t="n"/>
      <c r="F7" s="38" t="n"/>
    </row>
    <row r="8">
      <c r="A8" s="44" t="inlineStr">
        <is>
          <t>Largest protocol hacked</t>
        </is>
      </c>
      <c r="B8" s="49" t="n"/>
      <c r="C8" s="38" t="n"/>
      <c r="D8" s="38" t="n"/>
      <c r="E8" s="38" t="n"/>
      <c r="F8" s="38" t="n"/>
    </row>
    <row r="9">
      <c r="A9" s="44" t="inlineStr">
        <is>
          <t>Main L2 halted 48h</t>
        </is>
      </c>
      <c r="B9" s="49" t="n"/>
      <c r="C9" s="38" t="n"/>
      <c r="D9" s="38" t="n"/>
      <c r="E9" s="38" t="n"/>
      <c r="F9" s="38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F5"/>
  <mergeCells count="3">
    <mergeCell ref="A3:F3"/>
    <mergeCell ref="A2:F2"/>
    <mergeCell ref="A1:F1"/>
  </mergeCells>
  <dataValidations count="1">
    <dataValidation sqref="C5:E9" showDropDown="0" showInputMessage="0" showErrorMessage="0" allowBlank="1" type="list">
      <formula1>"Yes,No"</formula1>
    </dataValidation>
  </dataValidations>
  <pageMargins left="0.5" right="0.5" top="0.6" bottom="0.6" header="0.25" footer="0.25"/>
  <pageSetup orientation="landscape" paperSize="3" fitToHeight="0" fitToWidth="1"/>
  <headerFooter>
    <oddHeader>&amp;LOn-Chain Operator Program&amp;CW12 · Stress test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28" customWidth="1" min="4" max="4"/>
    <col width="26" customWidth="1" min="5" max="5"/>
    <col width="28" customWidth="1" min="6" max="6"/>
  </cols>
  <sheetData>
    <row r="1" ht="28" customHeight="1">
      <c r="A1" s="1" t="inlineStr">
        <is>
          <t>W13 · Incident playbook</t>
        </is>
      </c>
    </row>
    <row r="2" ht="18" customHeight="1">
      <c r="A2" s="2" t="inlineStr">
        <is>
          <t>Lesson 11.5</t>
        </is>
      </c>
    </row>
    <row r="3" ht="32" customHeight="1">
      <c r="A3" s="3" t="inlineStr">
        <is>
          <t>Write the official channel you bookmarked, the containment step, and a role to contact. No keys.  Educational only. Not financial, tax, or legal advice. Never type a seed phrase, private key, API key, or password.</t>
        </is>
      </c>
    </row>
    <row r="4" ht="22" customHeight="1">
      <c r="A4" s="4" t="inlineStr">
        <is>
          <t>Incident type</t>
        </is>
      </c>
      <c r="B4" s="4" t="inlineStr">
        <is>
          <t>Official channel (bookmarked)</t>
        </is>
      </c>
      <c r="C4" s="4" t="inlineStr">
        <is>
          <t>Containment steps</t>
        </is>
      </c>
      <c r="D4" s="4" t="inlineStr">
        <is>
          <t>Fresh-wallet procedure</t>
        </is>
      </c>
      <c r="E4" s="4" t="inlineStr">
        <is>
          <t>Who to contact (role)</t>
        </is>
      </c>
      <c r="F4" s="4" t="inlineStr">
        <is>
          <t>Journal note</t>
        </is>
      </c>
    </row>
    <row r="5" ht="18" customHeight="1">
      <c r="A5" s="35" t="n"/>
      <c r="B5" s="35" t="n"/>
      <c r="C5" s="35" t="n"/>
      <c r="D5" s="35" t="n"/>
      <c r="E5" s="35" t="n"/>
      <c r="F5" s="35" t="n"/>
    </row>
    <row r="6" ht="18" customHeight="1">
      <c r="A6" s="35" t="n"/>
      <c r="B6" s="35" t="n"/>
      <c r="C6" s="35" t="n"/>
      <c r="D6" s="35" t="n"/>
      <c r="E6" s="35" t="n"/>
      <c r="F6" s="35" t="n"/>
    </row>
    <row r="7" ht="18" customHeight="1">
      <c r="A7" s="35" t="n"/>
      <c r="B7" s="35" t="n"/>
      <c r="C7" s="35" t="n"/>
      <c r="D7" s="35" t="n"/>
      <c r="E7" s="35" t="n"/>
      <c r="F7" s="35" t="n"/>
    </row>
    <row r="8" ht="18" customHeight="1">
      <c r="A8" s="35" t="n"/>
      <c r="B8" s="35" t="n"/>
      <c r="C8" s="35" t="n"/>
      <c r="D8" s="35" t="n"/>
      <c r="E8" s="35" t="n"/>
      <c r="F8" s="35" t="n"/>
    </row>
    <row r="9" ht="18" customHeight="1">
      <c r="A9" s="35" t="n"/>
      <c r="B9" s="35" t="n"/>
      <c r="C9" s="35" t="n"/>
      <c r="D9" s="35" t="n"/>
      <c r="E9" s="35" t="n"/>
      <c r="F9" s="35" t="n"/>
    </row>
    <row r="10" ht="18" customHeight="1">
      <c r="A10" s="35" t="n"/>
      <c r="B10" s="35" t="n"/>
      <c r="C10" s="35" t="n"/>
      <c r="D10" s="35" t="n"/>
      <c r="E10" s="35" t="n"/>
      <c r="F10" s="35" t="n"/>
    </row>
    <row r="11" ht="18" customHeight="1">
      <c r="A11" s="35" t="n"/>
      <c r="B11" s="35" t="n"/>
      <c r="C11" s="35" t="n"/>
      <c r="D11" s="35" t="n"/>
      <c r="E11" s="35" t="n"/>
      <c r="F11" s="35" t="n"/>
    </row>
    <row r="12" ht="18" customHeight="1">
      <c r="A12" s="35" t="n"/>
      <c r="B12" s="35" t="n"/>
      <c r="C12" s="35" t="n"/>
      <c r="D12" s="35" t="n"/>
      <c r="E12" s="35" t="n"/>
      <c r="F12" s="35" t="n"/>
    </row>
    <row r="13" ht="18" customHeight="1">
      <c r="A13" s="35" t="n"/>
      <c r="B13" s="35" t="n"/>
      <c r="C13" s="35" t="n"/>
      <c r="D13" s="35" t="n"/>
      <c r="E13" s="35" t="n"/>
      <c r="F13" s="35" t="n"/>
    </row>
    <row r="14" ht="18" customHeight="1">
      <c r="A14" s="35" t="n"/>
      <c r="B14" s="35" t="n"/>
      <c r="C14" s="35" t="n"/>
      <c r="D14" s="35" t="n"/>
      <c r="E14" s="35" t="n"/>
      <c r="F14" s="35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F14"/>
  <mergeCells count="3">
    <mergeCell ref="A3:F3"/>
    <mergeCell ref="A2:F2"/>
    <mergeCell ref="A1:F1"/>
  </mergeCells>
  <pageMargins left="0.5" right="0.5" top="0.6" bottom="0.6" header="0.25" footer="0.25"/>
  <pageSetup orientation="landscape" paperSize="3" fitToHeight="0" fitToWidth="1"/>
  <headerFooter>
    <oddHeader>&amp;LOn-Chain Operator Program&amp;CW13 · Incident playbook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2" customWidth="1" min="4" max="4"/>
  </cols>
  <sheetData>
    <row r="1" ht="28" customHeight="1">
      <c r="A1" s="1" t="inlineStr">
        <is>
          <t>W14 · Alert sheet</t>
        </is>
      </c>
    </row>
    <row r="2" ht="18" customHeight="1">
      <c r="A2" s="2" t="inlineStr">
        <is>
          <t>Lesson 14.1</t>
        </is>
      </c>
    </row>
    <row r="3" ht="32" customHeight="1">
      <c r="A3" s="3" t="inlineStr">
        <is>
          <t>A threshold without an action is not an alert.  Educational only. Not financial, tax, or legal advice. Never type a seed phrase, private key, API key, or password.</t>
        </is>
      </c>
    </row>
    <row r="4" ht="22" customHeight="1">
      <c r="A4" s="4" t="inlineStr">
        <is>
          <t>Alert</t>
        </is>
      </c>
      <c r="B4" s="4" t="inlineStr">
        <is>
          <t>Threshold</t>
        </is>
      </c>
      <c r="C4" s="4" t="inlineStr">
        <is>
          <t>Tool</t>
        </is>
      </c>
      <c r="D4" s="4" t="inlineStr">
        <is>
          <t>Action</t>
        </is>
      </c>
    </row>
    <row r="5" ht="18" customHeight="1">
      <c r="A5" s="35" t="n"/>
      <c r="B5" s="35" t="n"/>
      <c r="C5" s="35" t="n"/>
      <c r="D5" s="35" t="n"/>
    </row>
    <row r="6" ht="18" customHeight="1">
      <c r="A6" s="35" t="n"/>
      <c r="B6" s="35" t="n"/>
      <c r="C6" s="35" t="n"/>
      <c r="D6" s="35" t="n"/>
    </row>
    <row r="7" ht="18" customHeight="1">
      <c r="A7" s="35" t="n"/>
      <c r="B7" s="35" t="n"/>
      <c r="C7" s="35" t="n"/>
      <c r="D7" s="35" t="n"/>
    </row>
    <row r="8" ht="18" customHeight="1">
      <c r="A8" s="35" t="n"/>
      <c r="B8" s="35" t="n"/>
      <c r="C8" s="35" t="n"/>
      <c r="D8" s="35" t="n"/>
    </row>
    <row r="9" ht="18" customHeight="1">
      <c r="A9" s="35" t="n"/>
      <c r="B9" s="35" t="n"/>
      <c r="C9" s="35" t="n"/>
      <c r="D9" s="35" t="n"/>
    </row>
    <row r="10" ht="18" customHeight="1">
      <c r="A10" s="35" t="n"/>
      <c r="B10" s="35" t="n"/>
      <c r="C10" s="35" t="n"/>
      <c r="D10" s="35" t="n"/>
    </row>
    <row r="11" ht="18" customHeight="1">
      <c r="A11" s="35" t="n"/>
      <c r="B11" s="35" t="n"/>
      <c r="C11" s="35" t="n"/>
      <c r="D11" s="35" t="n"/>
    </row>
    <row r="12" ht="18" customHeight="1">
      <c r="A12" s="35" t="n"/>
      <c r="B12" s="35" t="n"/>
      <c r="C12" s="35" t="n"/>
      <c r="D12" s="35" t="n"/>
    </row>
    <row r="13" ht="18" customHeight="1">
      <c r="A13" s="35" t="n"/>
      <c r="B13" s="35" t="n"/>
      <c r="C13" s="35" t="n"/>
      <c r="D13" s="35" t="n"/>
    </row>
    <row r="14" ht="18" customHeight="1">
      <c r="A14" s="35" t="n"/>
      <c r="B14" s="35" t="n"/>
      <c r="C14" s="35" t="n"/>
      <c r="D14" s="35" t="n"/>
    </row>
    <row r="15" ht="18" customHeight="1">
      <c r="A15" s="35" t="n"/>
      <c r="B15" s="35" t="n"/>
      <c r="C15" s="35" t="n"/>
      <c r="D15" s="35" t="n"/>
    </row>
    <row r="16" ht="18" customHeight="1">
      <c r="A16" s="35" t="n"/>
      <c r="B16" s="35" t="n"/>
      <c r="C16" s="35" t="n"/>
      <c r="D16" s="35" t="n"/>
    </row>
    <row r="17" ht="18" customHeight="1">
      <c r="A17" s="35" t="n"/>
      <c r="B17" s="35" t="n"/>
      <c r="C17" s="35" t="n"/>
      <c r="D17" s="35" t="n"/>
    </row>
    <row r="18" ht="18" customHeight="1">
      <c r="A18" s="35" t="n"/>
      <c r="B18" s="35" t="n"/>
      <c r="C18" s="35" t="n"/>
      <c r="D18" s="35" t="n"/>
    </row>
    <row r="19" ht="18" customHeight="1">
      <c r="A19" s="35" t="n"/>
      <c r="B19" s="35" t="n"/>
      <c r="C19" s="35" t="n"/>
      <c r="D19" s="35" t="n"/>
    </row>
    <row r="20" ht="18" customHeight="1">
      <c r="A20" s="35" t="n"/>
      <c r="B20" s="35" t="n"/>
      <c r="C20" s="35" t="n"/>
      <c r="D20" s="35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D20"/>
  <mergeCells count="3">
    <mergeCell ref="A1:D1"/>
    <mergeCell ref="A3:D3"/>
    <mergeCell ref="A2:D2"/>
  </mergeCells>
  <pageMargins left="0.5" right="0.5" top="0.6" bottom="0.6" header="0.25" footer="0.25"/>
  <pageSetup orientation="landscape" paperSize="3" fitToHeight="0" fitToWidth="1"/>
  <headerFooter>
    <oddHeader>&amp;LOn-Chain Operator Program&amp;CW14 · Alert sheet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6" customWidth="1" min="4" max="4"/>
    <col width="16" customWidth="1" min="5" max="5"/>
    <col width="28" customWidth="1" min="6" max="6"/>
  </cols>
  <sheetData>
    <row r="1" ht="28" customHeight="1">
      <c r="A1" s="1" t="inlineStr">
        <is>
          <t>W15 · Automation permissions</t>
        </is>
      </c>
    </row>
    <row r="2" ht="18" customHeight="1">
      <c r="A2" s="2" t="inlineStr">
        <is>
          <t>Lesson 14.2</t>
        </is>
      </c>
    </row>
    <row r="3" ht="32" customHeight="1">
      <c r="A3" s="3" t="inlineStr">
        <is>
          <t>Cap what a bot can move, and write how you revoke it.  Educational only. Not financial, tax, or legal advice. Never type a seed phrase, private key, API key, or password.</t>
        </is>
      </c>
    </row>
    <row r="4" ht="22" customHeight="1">
      <c r="A4" s="4" t="inlineStr">
        <is>
          <t>Bot or automation</t>
        </is>
      </c>
      <c r="B4" s="4" t="inlineStr">
        <is>
          <t>Permission</t>
        </is>
      </c>
      <c r="C4" s="4" t="inlineStr">
        <is>
          <t>Contract</t>
        </is>
      </c>
      <c r="D4" s="4" t="inlineStr">
        <is>
          <t>Cap</t>
        </is>
      </c>
      <c r="E4" s="4" t="inlineStr">
        <is>
          <t>Expiry</t>
        </is>
      </c>
      <c r="F4" s="4" t="inlineStr">
        <is>
          <t>Revoke method</t>
        </is>
      </c>
    </row>
    <row r="5" ht="18" customHeight="1">
      <c r="A5" s="35" t="n"/>
      <c r="B5" s="35" t="n"/>
      <c r="C5" s="35" t="n"/>
      <c r="D5" s="35" t="n"/>
      <c r="E5" s="35" t="n"/>
      <c r="F5" s="35" t="n"/>
    </row>
    <row r="6" ht="18" customHeight="1">
      <c r="A6" s="35" t="n"/>
      <c r="B6" s="35" t="n"/>
      <c r="C6" s="35" t="n"/>
      <c r="D6" s="35" t="n"/>
      <c r="E6" s="35" t="n"/>
      <c r="F6" s="35" t="n"/>
    </row>
    <row r="7" ht="18" customHeight="1">
      <c r="A7" s="35" t="n"/>
      <c r="B7" s="35" t="n"/>
      <c r="C7" s="35" t="n"/>
      <c r="D7" s="35" t="n"/>
      <c r="E7" s="35" t="n"/>
      <c r="F7" s="35" t="n"/>
    </row>
    <row r="8" ht="18" customHeight="1">
      <c r="A8" s="35" t="n"/>
      <c r="B8" s="35" t="n"/>
      <c r="C8" s="35" t="n"/>
      <c r="D8" s="35" t="n"/>
      <c r="E8" s="35" t="n"/>
      <c r="F8" s="35" t="n"/>
    </row>
    <row r="9" ht="18" customHeight="1">
      <c r="A9" s="35" t="n"/>
      <c r="B9" s="35" t="n"/>
      <c r="C9" s="35" t="n"/>
      <c r="D9" s="35" t="n"/>
      <c r="E9" s="35" t="n"/>
      <c r="F9" s="35" t="n"/>
    </row>
    <row r="10" ht="18" customHeight="1">
      <c r="A10" s="35" t="n"/>
      <c r="B10" s="35" t="n"/>
      <c r="C10" s="35" t="n"/>
      <c r="D10" s="35" t="n"/>
      <c r="E10" s="35" t="n"/>
      <c r="F10" s="35" t="n"/>
    </row>
    <row r="11" ht="18" customHeight="1">
      <c r="A11" s="35" t="n"/>
      <c r="B11" s="35" t="n"/>
      <c r="C11" s="35" t="n"/>
      <c r="D11" s="35" t="n"/>
      <c r="E11" s="35" t="n"/>
      <c r="F11" s="35" t="n"/>
    </row>
    <row r="12" ht="18" customHeight="1">
      <c r="A12" s="35" t="n"/>
      <c r="B12" s="35" t="n"/>
      <c r="C12" s="35" t="n"/>
      <c r="D12" s="35" t="n"/>
      <c r="E12" s="35" t="n"/>
      <c r="F12" s="35" t="n"/>
    </row>
    <row r="13" ht="18" customHeight="1">
      <c r="A13" s="35" t="n"/>
      <c r="B13" s="35" t="n"/>
      <c r="C13" s="35" t="n"/>
      <c r="D13" s="35" t="n"/>
      <c r="E13" s="35" t="n"/>
      <c r="F13" s="35" t="n"/>
    </row>
    <row r="14" ht="18" customHeight="1">
      <c r="A14" s="35" t="n"/>
      <c r="B14" s="35" t="n"/>
      <c r="C14" s="35" t="n"/>
      <c r="D14" s="35" t="n"/>
      <c r="E14" s="35" t="n"/>
      <c r="F14" s="35" t="n"/>
    </row>
    <row r="15" ht="18" customHeight="1">
      <c r="A15" s="35" t="n"/>
      <c r="B15" s="35" t="n"/>
      <c r="C15" s="35" t="n"/>
      <c r="D15" s="35" t="n"/>
      <c r="E15" s="35" t="n"/>
      <c r="F15" s="35" t="n"/>
    </row>
    <row r="16" ht="18" customHeight="1">
      <c r="A16" s="35" t="n"/>
      <c r="B16" s="35" t="n"/>
      <c r="C16" s="35" t="n"/>
      <c r="D16" s="35" t="n"/>
      <c r="E16" s="35" t="n"/>
      <c r="F16" s="35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4:F16"/>
  <mergeCells count="3">
    <mergeCell ref="A3:F3"/>
    <mergeCell ref="A2:F2"/>
    <mergeCell ref="A1:F1"/>
  </mergeCells>
  <pageMargins left="0.5" right="0.5" top="0.6" bottom="0.6" header="0.25" footer="0.25"/>
  <pageSetup orientation="landscape" paperSize="3" fitToHeight="0" fitToWidth="1"/>
  <headerFooter>
    <oddHeader>&amp;LOn-Chain Operator Program&amp;CW15 · Automation permissions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14202B"/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8" customWidth="1" min="4" max="4"/>
  </cols>
  <sheetData>
    <row r="1" ht="28" customHeight="1">
      <c r="A1" s="1" t="inlineStr">
        <is>
          <t>W16 · Annual review</t>
        </is>
      </c>
    </row>
    <row r="2" ht="18" customHeight="1">
      <c r="A2" s="2" t="inlineStr">
        <is>
          <t>Lesson 13.5</t>
        </is>
      </c>
    </row>
    <row r="3" ht="32" customHeight="1">
      <c r="A3" s="3" t="inlineStr">
        <is>
          <t>Educational only. Not financial, tax, or legal advice. Never type a seed phrase, private key, API key, or password.</t>
        </is>
      </c>
    </row>
    <row r="5">
      <c r="A5" s="18" t="inlineStr">
        <is>
          <t>Equity at the start</t>
        </is>
      </c>
      <c r="B5" s="20" t="n"/>
    </row>
    <row r="6">
      <c r="A6" s="18" t="inlineStr">
        <is>
          <t>Equity at the end</t>
        </is>
      </c>
      <c r="B6" s="20" t="n"/>
    </row>
    <row r="7">
      <c r="A7" s="18" t="inlineStr">
        <is>
          <t>LTV at the review</t>
        </is>
      </c>
      <c r="B7" s="50" t="n"/>
    </row>
    <row r="8">
      <c r="A8" s="18" t="inlineStr">
        <is>
          <t>Runway at the review (months)</t>
        </is>
      </c>
      <c r="B8" s="45" t="n"/>
    </row>
    <row r="9">
      <c r="A9" s="18" t="inlineStr">
        <is>
          <t>Payout paid</t>
        </is>
      </c>
      <c r="B9" s="20" t="n"/>
    </row>
    <row r="10">
      <c r="A10" s="18" t="inlineStr">
        <is>
          <t>Payout the policy allowed</t>
        </is>
      </c>
      <c r="B10" s="20" t="n"/>
    </row>
    <row r="11">
      <c r="A11" s="18" t="inlineStr">
        <is>
          <t>Payout versus policy</t>
        </is>
      </c>
      <c r="B11" s="19">
        <f>IF(OR(B9="",B10=""),"",B9-B10)</f>
        <v/>
      </c>
    </row>
    <row r="13" ht="22" customHeight="1">
      <c r="A13" s="4" t="inlineStr">
        <is>
          <t>Source</t>
        </is>
      </c>
      <c r="B13" s="4" t="inlineStr">
        <is>
          <t>Income expected</t>
        </is>
      </c>
      <c r="C13" s="4" t="inlineStr">
        <is>
          <t>Income realised</t>
        </is>
      </c>
      <c r="D13" s="4" t="inlineStr">
        <is>
          <t>Gap</t>
        </is>
      </c>
    </row>
    <row r="14" ht="18" customHeight="1">
      <c r="A14" s="35" t="n"/>
      <c r="B14" s="37" t="n"/>
      <c r="C14" s="37" t="n"/>
      <c r="D14" s="19">
        <f>IF(OR(B14="",C14=""),"",C14-B14)</f>
        <v/>
      </c>
    </row>
    <row r="15" ht="18" customHeight="1">
      <c r="A15" s="35" t="n"/>
      <c r="B15" s="37" t="n"/>
      <c r="C15" s="37" t="n"/>
      <c r="D15" s="19">
        <f>IF(OR(B15="",C15=""),"",C15-B15)</f>
        <v/>
      </c>
    </row>
    <row r="16" ht="18" customHeight="1">
      <c r="A16" s="35" t="n"/>
      <c r="B16" s="37" t="n"/>
      <c r="C16" s="37" t="n"/>
      <c r="D16" s="19">
        <f>IF(OR(B16="",C16=""),"",C16-B16)</f>
        <v/>
      </c>
    </row>
    <row r="17" ht="18" customHeight="1">
      <c r="A17" s="35" t="n"/>
      <c r="B17" s="37" t="n"/>
      <c r="C17" s="37" t="n"/>
      <c r="D17" s="19">
        <f>IF(OR(B17="",C17=""),"",C17-B17)</f>
        <v/>
      </c>
    </row>
    <row r="18" ht="18" customHeight="1">
      <c r="A18" s="35" t="n"/>
      <c r="B18" s="37" t="n"/>
      <c r="C18" s="37" t="n"/>
      <c r="D18" s="19">
        <f>IF(OR(B18="",C18=""),"",C18-B18)</f>
        <v/>
      </c>
    </row>
    <row r="19" ht="18" customHeight="1">
      <c r="A19" s="35" t="n"/>
      <c r="B19" s="37" t="n"/>
      <c r="C19" s="37" t="n"/>
      <c r="D19" s="19">
        <f>IF(OR(B19="",C19=""),"",C19-B19)</f>
        <v/>
      </c>
    </row>
    <row r="21">
      <c r="A21" s="18" t="inlineStr">
        <is>
          <t>Losses and near-misses</t>
        </is>
      </c>
      <c r="B21" s="38" t="n"/>
      <c r="C21" s="42" t="n"/>
      <c r="D21" s="43" t="n"/>
    </row>
    <row r="22">
      <c r="A22" s="18" t="inlineStr">
        <is>
          <t>Updated loss assumptions</t>
        </is>
      </c>
      <c r="B22" s="38" t="n"/>
      <c r="C22" s="42" t="n"/>
      <c r="D22" s="43" t="n"/>
    </row>
    <row r="23">
      <c r="A23" s="18" t="inlineStr">
        <is>
          <t>Custody and succession drill done?</t>
        </is>
      </c>
      <c r="B23" s="38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autoFilter ref="A13:D19"/>
  <mergeCells count="5">
    <mergeCell ref="A1:D1"/>
    <mergeCell ref="B22:D22"/>
    <mergeCell ref="A3:D3"/>
    <mergeCell ref="B21:D21"/>
    <mergeCell ref="A2:D2"/>
  </mergeCells>
  <dataValidations count="1">
    <dataValidation sqref="B23" showDropDown="0" showInputMessage="0" showErrorMessage="0" allowBlank="1" type="list">
      <formula1>"Yes,No"</formula1>
    </dataValidation>
  </dataValidations>
  <pageMargins left="0.5" right="0.5" top="0.6" bottom="0.6" header="0.25" footer="0.25"/>
  <pageSetup orientation="landscape" paperSize="3" fitToHeight="0" fitToWidth="1"/>
  <headerFooter>
    <oddHeader>&amp;LOn-Chain Operator Program&amp;CW16 · Annual review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55" customWidth="1" min="2" max="2"/>
  </cols>
  <sheetData>
    <row r="1" ht="28" customHeight="1">
      <c r="A1" s="1" t="inlineStr">
        <is>
          <t>W17 · Letter of instruction</t>
        </is>
      </c>
    </row>
    <row r="2" ht="18" customHeight="1">
      <c r="A2" s="2" t="inlineStr">
        <is>
          <t>Lesson 12.6 · store this apart from any key</t>
        </is>
      </c>
    </row>
    <row r="3" ht="48" customHeight="1">
      <c r="A3" s="3" t="inlineStr">
        <is>
          <t>Describe what exists and who has a role. Do not write a seed phrase, a private key, an API key, a password, or where a seed is hidden. Educational only. Not financial, tax, or legal advice. Never type a seed phrase, private key, API key, or password.</t>
        </is>
      </c>
    </row>
    <row r="5" ht="36" customHeight="1">
      <c r="A5" s="18" t="inlineStr">
        <is>
          <t>Wallet types that exist (hardware, multisig, hot). Not the keys.</t>
        </is>
      </c>
      <c r="B5" s="38" t="n"/>
    </row>
    <row r="6" ht="36" customHeight="1">
      <c r="A6" s="18" t="inlineStr">
        <is>
          <t>Multisig shape (for example 2 of 3) and the roles, not the people's secrets.</t>
        </is>
      </c>
      <c r="B6" s="38" t="n"/>
    </row>
    <row r="7" ht="36" customHeight="1">
      <c r="A7" s="18" t="inlineStr">
        <is>
          <t>Where the documents are (this file, the journal, the due-diligence notes).</t>
        </is>
      </c>
      <c r="B7" s="38" t="n"/>
    </row>
    <row r="8" ht="36" customHeight="1">
      <c r="A8" s="18" t="inlineStr">
        <is>
          <t>Co-signer or professional, by name and role.</t>
        </is>
      </c>
      <c r="B8" s="38" t="n"/>
    </row>
    <row r="9" ht="36" customHeight="1">
      <c r="A9" s="18" t="inlineStr">
        <is>
          <t>How the executor should proceed, in order.</t>
        </is>
      </c>
      <c r="B9" s="38" t="n"/>
    </row>
    <row r="10" ht="36" customHeight="1">
      <c r="A10" s="18" t="inlineStr">
        <is>
          <t>Who to call first.</t>
        </is>
      </c>
      <c r="B10" s="38" t="n"/>
    </row>
    <row r="11" ht="36" customHeight="1">
      <c r="A11" s="18" t="inlineStr">
        <is>
          <t>What not to do.</t>
        </is>
      </c>
      <c r="B11" s="38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1" formatRows="1" sort="1"/>
  <mergeCells count="3">
    <mergeCell ref="A3:B3"/>
    <mergeCell ref="A2:B2"/>
    <mergeCell ref="A1:B1"/>
  </mergeCells>
  <pageMargins left="0.5" right="0.5" top="0.6" bottom="0.6" header="0.25" footer="0.25"/>
  <pageSetup orientation="landscape" paperSize="3" fitToHeight="0" fitToWidth="1"/>
  <headerFooter>
    <oddHeader>&amp;LOn-Chain Operator Program&amp;CW17 · Letter of instruction</oddHeader>
    <oddFooter>&amp;LEducational only. Not financial, tax, or legal advice. Never type a seed phrase, private key, API key, or password.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On-Chain Operator Program</dc:creator>
  <dc:title>On-Chain Operator Worksheets</dc:title>
  <dc:subject>Educational worksheets and calculators. Not financial advice.</dc:subject>
  <dcterms:created xsi:type="dcterms:W3CDTF">2026-09-28T03:58:30Z</dcterms:created>
  <dcterms:modified xsi:type="dcterms:W3CDTF">2026-09-28T03:58:31Z</dcterms:modified>
</cp:coreProperties>
</file>